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OPEX by Row (Q1–Q3)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'Data'!$A$2:$A$6</f>
            </numRef>
          </cat>
          <val>
            <numRef>
              <f>'Data'!$C$2:$C$6</f>
            </numRef>
          </val>
        </ser>
        <ser>
          <idx val="1"/>
          <order val="1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'Data'!$A$2:$A$6</f>
            </numRef>
          </cat>
          <val>
            <numRef>
              <f>'Data'!$D$2:$D$6</f>
            </numRef>
          </val>
        </ser>
        <ser>
          <idx val="2"/>
          <order val="2"/>
          <tx>
            <strRef>
              <f>'Data'!E1</f>
            </strRef>
          </tx>
          <spPr>
            <a:ln>
              <a:prstDash val="solid"/>
            </a:ln>
          </spPr>
          <cat>
            <numRef>
              <f>'Data'!$A$2:$A$6</f>
            </numRef>
          </cat>
          <val>
            <numRef>
              <f>'Data'!$E$2:$E$6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Q1 Cost Distribution (sample)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'Data'!$A$2:$A$6</f>
            </numRef>
          </cat>
          <val>
            <numRef>
              <f>'Data'!$C$2:$C$6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Q1 Cost (€)</t>
        </is>
      </c>
      <c r="D1" s="1" t="inlineStr">
        <is>
          <t>Q2 Cost (€)</t>
        </is>
      </c>
      <c r="E1" s="1" t="inlineStr">
        <is>
          <t>Q3 Cost (€)</t>
        </is>
      </c>
    </row>
    <row r="2">
      <c r="A2" t="inlineStr">
        <is>
          <t>IT</t>
        </is>
      </c>
      <c r="B2" t="inlineStr">
        <is>
          <t>Software</t>
        </is>
      </c>
      <c r="C2" t="n">
        <v>99519.75</v>
      </c>
      <c r="D2" t="n">
        <v>13501.51</v>
      </c>
      <c r="E2" t="n">
        <v>48504.1</v>
      </c>
    </row>
    <row r="3">
      <c r="A3" t="inlineStr">
        <is>
          <t>Finance</t>
        </is>
      </c>
      <c r="B3" t="inlineStr">
        <is>
          <t>Personnel</t>
        </is>
      </c>
      <c r="C3" t="n">
        <v>41249.5</v>
      </c>
      <c r="D3" t="n">
        <v>113105.97</v>
      </c>
      <c r="E3" t="n">
        <v>104737.93</v>
      </c>
    </row>
    <row r="4">
      <c r="A4" t="inlineStr">
        <is>
          <t>HR</t>
        </is>
      </c>
      <c r="B4" t="inlineStr">
        <is>
          <t>Hardware</t>
        </is>
      </c>
      <c r="C4" t="n">
        <v>134905.14</v>
      </c>
      <c r="D4" t="n">
        <v>22171.44</v>
      </c>
      <c r="E4" t="n">
        <v>69069.05</v>
      </c>
    </row>
    <row r="5">
      <c r="A5" t="inlineStr">
        <is>
          <t>Operations</t>
        </is>
      </c>
      <c r="B5" t="inlineStr">
        <is>
          <t>Consulting</t>
        </is>
      </c>
      <c r="C5" t="n">
        <v>14171.61</v>
      </c>
      <c r="D5" t="n">
        <v>40609.32</v>
      </c>
      <c r="E5" t="n">
        <v>80749.74000000001</v>
      </c>
    </row>
    <row r="6">
      <c r="A6" t="inlineStr">
        <is>
          <t>Marketing</t>
        </is>
      </c>
      <c r="B6" t="inlineStr">
        <is>
          <t>Travel</t>
        </is>
      </c>
      <c r="C6" t="n">
        <v>13715.04</v>
      </c>
      <c r="D6" t="n">
        <v>37837.27</v>
      </c>
      <c r="E6" t="n">
        <v>100983.82</v>
      </c>
    </row>
    <row r="7">
      <c r="A7" t="inlineStr">
        <is>
          <t>IT</t>
        </is>
      </c>
      <c r="B7" t="inlineStr">
        <is>
          <t>Software</t>
        </is>
      </c>
      <c r="C7" t="n">
        <v>86291.81</v>
      </c>
      <c r="D7" t="n">
        <v>40861.69</v>
      </c>
      <c r="E7" t="n">
        <v>92497.2</v>
      </c>
    </row>
    <row r="8">
      <c r="A8" t="inlineStr">
        <is>
          <t>Finance</t>
        </is>
      </c>
      <c r="B8" t="inlineStr">
        <is>
          <t>Personnel</t>
        </is>
      </c>
      <c r="C8" t="n">
        <v>123320.26</v>
      </c>
      <c r="D8" t="n">
        <v>10909.83</v>
      </c>
      <c r="E8" t="n">
        <v>122814.7</v>
      </c>
    </row>
    <row r="9">
      <c r="A9" t="inlineStr">
        <is>
          <t>HR</t>
        </is>
      </c>
      <c r="B9" t="inlineStr">
        <is>
          <t>Hardware</t>
        </is>
      </c>
      <c r="C9" t="n">
        <v>107739.52</v>
      </c>
      <c r="D9" t="n">
        <v>57635.07</v>
      </c>
      <c r="E9" t="n">
        <v>31767.13</v>
      </c>
    </row>
    <row r="10">
      <c r="A10" t="inlineStr">
        <is>
          <t>Operations</t>
        </is>
      </c>
      <c r="B10" t="inlineStr">
        <is>
          <t>Consulting</t>
        </is>
      </c>
      <c r="C10" t="n">
        <v>144009.83</v>
      </c>
      <c r="D10" t="n">
        <v>57123.24</v>
      </c>
      <c r="E10" t="n">
        <v>22984.42</v>
      </c>
    </row>
    <row r="11">
      <c r="A11" t="inlineStr">
        <is>
          <t>Marketing</t>
        </is>
      </c>
      <c r="B11" t="inlineStr">
        <is>
          <t>Travel</t>
        </is>
      </c>
      <c r="C11" t="n">
        <v>23540.29</v>
      </c>
      <c r="D11" t="n">
        <v>128649.21</v>
      </c>
      <c r="E11" t="n">
        <v>94521.64</v>
      </c>
    </row>
    <row r="12">
      <c r="A12" t="inlineStr">
        <is>
          <t>IT</t>
        </is>
      </c>
      <c r="B12" t="inlineStr">
        <is>
          <t>Software</t>
        </is>
      </c>
      <c r="C12" t="n">
        <v>122997.96</v>
      </c>
      <c r="D12" t="n">
        <v>112162.45</v>
      </c>
      <c r="E12" t="n">
        <v>85071.92999999999</v>
      </c>
    </row>
    <row r="13">
      <c r="A13" t="inlineStr">
        <is>
          <t>Finance</t>
        </is>
      </c>
      <c r="B13" t="inlineStr">
        <is>
          <t>Personnel</t>
        </is>
      </c>
      <c r="C13" t="n">
        <v>146236.21</v>
      </c>
      <c r="D13" t="n">
        <v>62994.81</v>
      </c>
      <c r="E13" t="n">
        <v>87285.69</v>
      </c>
    </row>
    <row r="14">
      <c r="A14" t="inlineStr">
        <is>
          <t>HR</t>
        </is>
      </c>
      <c r="B14" t="inlineStr">
        <is>
          <t>Hardware</t>
        </is>
      </c>
      <c r="C14" t="n">
        <v>126116.65</v>
      </c>
      <c r="D14" t="n">
        <v>96592.77</v>
      </c>
      <c r="E14" t="n">
        <v>130638.97</v>
      </c>
    </row>
    <row r="15">
      <c r="A15" t="inlineStr">
        <is>
          <t>Operations</t>
        </is>
      </c>
      <c r="B15" t="inlineStr">
        <is>
          <t>Consulting</t>
        </is>
      </c>
      <c r="C15" t="n">
        <v>90829.3</v>
      </c>
      <c r="D15" t="n">
        <v>108640.06</v>
      </c>
      <c r="E15" t="n">
        <v>16415.41</v>
      </c>
    </row>
    <row r="16">
      <c r="A16" t="inlineStr">
        <is>
          <t>Marketing</t>
        </is>
      </c>
      <c r="B16" t="inlineStr">
        <is>
          <t>Travel</t>
        </is>
      </c>
      <c r="C16" t="n">
        <v>41905.76</v>
      </c>
      <c r="D16" t="n">
        <v>50514.31</v>
      </c>
      <c r="E16" t="n">
        <v>21170.88</v>
      </c>
    </row>
    <row r="17">
      <c r="A17" t="inlineStr">
        <is>
          <t>IT</t>
        </is>
      </c>
      <c r="B17" t="inlineStr">
        <is>
          <t>Software</t>
        </is>
      </c>
      <c r="C17" t="n">
        <v>42590.72</v>
      </c>
      <c r="D17" t="n">
        <v>24140.2</v>
      </c>
      <c r="E17" t="n">
        <v>48916.3</v>
      </c>
    </row>
    <row r="18">
      <c r="A18" t="inlineStr">
        <is>
          <t>Finance</t>
        </is>
      </c>
      <c r="B18" t="inlineStr">
        <is>
          <t>Personnel</t>
        </is>
      </c>
      <c r="C18" t="n">
        <v>98995.82000000001</v>
      </c>
      <c r="D18" t="n">
        <v>61076.51</v>
      </c>
      <c r="E18" t="n">
        <v>61825.34</v>
      </c>
    </row>
    <row r="19">
      <c r="A19" t="inlineStr">
        <is>
          <t>HR</t>
        </is>
      </c>
      <c r="B19" t="inlineStr">
        <is>
          <t>Hardware</t>
        </is>
      </c>
      <c r="C19" t="n">
        <v>39330.98</v>
      </c>
      <c r="D19" t="n">
        <v>47376.9</v>
      </c>
      <c r="E19" t="n">
        <v>141131.64</v>
      </c>
    </row>
    <row r="20">
      <c r="A20" t="inlineStr">
        <is>
          <t>Operations</t>
        </is>
      </c>
      <c r="B20" t="inlineStr">
        <is>
          <t>Consulting</t>
        </is>
      </c>
      <c r="C20" t="n">
        <v>100724.95</v>
      </c>
      <c r="D20" t="n">
        <v>95278.34</v>
      </c>
      <c r="E20" t="n">
        <v>33959.41</v>
      </c>
    </row>
    <row r="21">
      <c r="A21" t="inlineStr">
        <is>
          <t>Marketing</t>
        </is>
      </c>
      <c r="B21" t="inlineStr">
        <is>
          <t>Travel</t>
        </is>
      </c>
      <c r="C21" t="n">
        <v>112077.75</v>
      </c>
      <c r="D21" t="n">
        <v>32876.35</v>
      </c>
      <c r="E21" t="n">
        <v>63123.76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Metric</t>
        </is>
      </c>
      <c r="B1" s="2" t="inlineStr">
        <is>
          <t>Q1 Cost (€)</t>
        </is>
      </c>
      <c r="C1" s="2" t="inlineStr">
        <is>
          <t>Q2 Cost (€)</t>
        </is>
      </c>
      <c r="D1" s="2" t="inlineStr">
        <is>
          <t>Q3 Cost (€)</t>
        </is>
      </c>
    </row>
    <row r="2">
      <c r="A2" t="inlineStr">
        <is>
          <t>Total</t>
        </is>
      </c>
      <c r="B2">
        <f>SUM(Data!C2:C21)</f>
        <v/>
      </c>
      <c r="C2">
        <f>SUM(Data!D2:D21)</f>
        <v/>
      </c>
      <c r="D2">
        <f>SUM(Data!E2:E21)</f>
        <v/>
      </c>
    </row>
    <row r="3">
      <c r="A3" t="inlineStr">
        <is>
          <t>Average</t>
        </is>
      </c>
      <c r="B3">
        <f>AVERAGE(Data!C2:C21)</f>
        <v/>
      </c>
      <c r="C3">
        <f>AVERAGE(Data!D2:D21)</f>
        <v/>
      </c>
      <c r="D3">
        <f>AVERAGE(Data!E2:E21)</f>
        <v/>
      </c>
    </row>
    <row r="4">
      <c r="A4" t="inlineStr">
        <is>
          <t>Maximum</t>
        </is>
      </c>
      <c r="B4">
        <f>MAX(Data!C2:C21)</f>
        <v/>
      </c>
      <c r="C4">
        <f>MAX(Data!D2:D21)</f>
        <v/>
      </c>
      <c r="D4">
        <f>MAX(Data!E2:E21)</f>
        <v/>
      </c>
    </row>
    <row r="5">
      <c r="A5" t="inlineStr">
        <is>
          <t>Minimum</t>
        </is>
      </c>
      <c r="B5">
        <f>MIN(Data!C2:C21)</f>
        <v/>
      </c>
      <c r="C5">
        <f>MIN(Data!D2:D21)</f>
        <v/>
      </c>
      <c r="D5">
        <f>MIN(Data!E2:E21)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Charts sourced from Data sheet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2026-04-13T08:40:10Z</dcterms:created>
  <dcterms:modified xsi:type="dcterms:W3CDTF">2026-04-13T08:40:10Z</dcterms:modified>
</cp:coreProperties>
</file>