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ker\ReportAutomatization\tests\UAT\data\"/>
    </mc:Choice>
  </mc:AlternateContent>
  <xr:revisionPtr revIDLastSave="0" documentId="13_ncr:1_{10CEFB1A-71CA-45D8-A0CE-D419C52F8441}" xr6:coauthVersionLast="47" xr6:coauthVersionMax="47" xr10:uidLastSave="{00000000-0000-0000-0000-000000000000}"/>
  <bookViews>
    <workbookView xWindow="1950" yWindow="1950" windowWidth="38700" windowHeight="15105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M6" i="1" s="1"/>
  <c r="J6" i="1"/>
  <c r="L6" i="1" s="1"/>
  <c r="K5" i="1"/>
  <c r="M5" i="1" s="1"/>
  <c r="J5" i="1"/>
  <c r="L5" i="1" s="1"/>
  <c r="K4" i="1"/>
  <c r="M4" i="1" s="1"/>
  <c r="J4" i="1"/>
  <c r="L4" i="1" s="1"/>
  <c r="K3" i="1"/>
  <c r="M3" i="1" s="1"/>
  <c r="J3" i="1"/>
  <c r="L3" i="1" s="1"/>
  <c r="K2" i="1"/>
  <c r="M2" i="1" s="1"/>
  <c r="J2" i="1"/>
  <c r="L2" i="1" s="1"/>
</calcChain>
</file>

<file path=xl/sharedStrings.xml><?xml version="1.0" encoding="utf-8"?>
<sst xmlns="http://schemas.openxmlformats.org/spreadsheetml/2006/main" count="18" uniqueCount="18">
  <si>
    <t>Id</t>
  </si>
  <si>
    <t>Project Name</t>
  </si>
  <si>
    <t>Budget 25</t>
  </si>
  <si>
    <t>Budget 26</t>
  </si>
  <si>
    <t>Cost25</t>
  </si>
  <si>
    <t>Cost26</t>
  </si>
  <si>
    <t>Budget24</t>
  </si>
  <si>
    <t>Cost24</t>
  </si>
  <si>
    <t>TotalCost</t>
  </si>
  <si>
    <t>DiffBudget</t>
  </si>
  <si>
    <t>DiffCost</t>
  </si>
  <si>
    <t>Item1</t>
  </si>
  <si>
    <t>Item2</t>
  </si>
  <si>
    <t>Item3</t>
  </si>
  <si>
    <t>Item4</t>
  </si>
  <si>
    <t>Item5</t>
  </si>
  <si>
    <t>Max project cost</t>
  </si>
  <si>
    <t>ToalBudget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</si>
</sst>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H2" sqref="H2"/>
    </sheetView>
  </sheetViews>
  <sheetFormatPr defaultRowHeight="15" x14ac:dyDescent="0.25"/>
  <cols>
    <col min="2" max="2" width="33.28515625" customWidth="1"/>
    <col min="3" max="3" width="15.42578125" customWidth="1"/>
    <col min="4" max="4" width="9.28515625" customWidth="1"/>
    <col min="6" max="6" width="11.28515625" customWidth="1"/>
    <col min="7" max="7" width="8.7109375" customWidth="1"/>
    <col min="8" max="8" width="8" customWidth="1"/>
  </cols>
  <sheetData>
    <row r="1" spans="1:13" x14ac:dyDescent="0.25">
      <c r="A1" t="s">
        <v>0</v>
      </c>
      <c r="B1" t="s">
        <v>1</v>
      </c>
      <c r="C1" t="s">
        <v>16</v>
      </c>
      <c r="D1" t="s">
        <v>6</v>
      </c>
      <c r="E1" t="s">
        <v>2</v>
      </c>
      <c r="F1" t="s">
        <v>3</v>
      </c>
      <c r="G1" t="s">
        <v>7</v>
      </c>
      <c r="H1" t="s">
        <v>4</v>
      </c>
      <c r="I1" t="s">
        <v>5</v>
      </c>
      <c r="J1" t="s">
        <v>8</v>
      </c>
      <c r="K1" t="s">
        <v>17</v>
      </c>
      <c r="L1" t="s">
        <v>10</v>
      </c>
      <c r="M1" t="s">
        <v>9</v>
      </c>
    </row>
    <row r="2" spans="1:13" x14ac:dyDescent="0.25">
      <c r="A2">
        <v>1</v>
      </c>
      <c r="B2" t="s">
        <v>11</v>
      </c>
      <c r="C2">
        <v>150000</v>
      </c>
      <c r="D2">
        <v>72000</v>
      </c>
      <c r="E2">
        <v>68000</v>
      </c>
      <c r="F2">
        <v>25000</v>
      </c>
      <c r="G2">
        <v>3500</v>
      </c>
      <c r="H2">
        <v>60000</v>
      </c>
      <c r="I2">
        <v>20000</v>
      </c>
      <c r="J2">
        <f>SUM(G2:I2)</f>
        <v>83500</v>
      </c>
      <c r="K2">
        <f>SUM(D2:F2)</f>
        <v>165000</v>
      </c>
      <c r="L2">
        <f>C2-J2</f>
        <v>66500</v>
      </c>
      <c r="M2">
        <f>C2-K2</f>
        <v>-15000</v>
      </c>
    </row>
    <row r="3" spans="1:13" x14ac:dyDescent="0.25">
      <c r="A3">
        <v>2</v>
      </c>
      <c r="B3" t="s">
        <v>12</v>
      </c>
      <c r="C3">
        <v>25000</v>
      </c>
      <c r="D3">
        <v>18000</v>
      </c>
      <c r="E3">
        <v>12500</v>
      </c>
      <c r="F3">
        <v>5000</v>
      </c>
      <c r="G3">
        <v>258888</v>
      </c>
      <c r="H3">
        <v>10200</v>
      </c>
      <c r="I3">
        <v>10500</v>
      </c>
      <c r="J3">
        <f t="shared" ref="J3:J6" si="0">SUM(G3:I3)</f>
        <v>279588</v>
      </c>
      <c r="K3">
        <f t="shared" ref="K3:K6" si="1">SUM(D3:F3)</f>
        <v>35500</v>
      </c>
      <c r="L3">
        <f t="shared" ref="L3:L6" si="2">C3-J3</f>
        <v>-254588</v>
      </c>
      <c r="M3">
        <f t="shared" ref="M3:M6" si="3">C3-K3</f>
        <v>-10500</v>
      </c>
    </row>
    <row r="4" spans="1:13" x14ac:dyDescent="0.25">
      <c r="A4">
        <v>3</v>
      </c>
      <c r="B4" t="s">
        <v>13</v>
      </c>
      <c r="C4">
        <v>65800</v>
      </c>
      <c r="D4">
        <v>25000</v>
      </c>
      <c r="E4">
        <v>31000</v>
      </c>
      <c r="F4">
        <v>12000</v>
      </c>
      <c r="G4">
        <v>215621</v>
      </c>
      <c r="H4">
        <v>31000</v>
      </c>
      <c r="I4">
        <v>11000</v>
      </c>
      <c r="J4">
        <f t="shared" si="0"/>
        <v>257621</v>
      </c>
      <c r="K4">
        <f t="shared" si="1"/>
        <v>68000</v>
      </c>
      <c r="L4">
        <f t="shared" si="2"/>
        <v>-191821</v>
      </c>
      <c r="M4">
        <f t="shared" si="3"/>
        <v>-2200</v>
      </c>
    </row>
    <row r="5" spans="1:13" x14ac:dyDescent="0.25">
      <c r="A5">
        <v>4</v>
      </c>
      <c r="B5" t="s">
        <v>14</v>
      </c>
      <c r="C5">
        <v>1265000</v>
      </c>
      <c r="D5">
        <v>152000</v>
      </c>
      <c r="E5">
        <v>425000</v>
      </c>
      <c r="F5">
        <v>475000</v>
      </c>
      <c r="G5">
        <v>269882</v>
      </c>
      <c r="H5">
        <v>465000</v>
      </c>
      <c r="I5">
        <v>492500</v>
      </c>
      <c r="J5">
        <f t="shared" si="0"/>
        <v>1227382</v>
      </c>
      <c r="K5">
        <f t="shared" si="1"/>
        <v>1052000</v>
      </c>
      <c r="L5">
        <f t="shared" si="2"/>
        <v>37618</v>
      </c>
      <c r="M5">
        <f t="shared" si="3"/>
        <v>213000</v>
      </c>
    </row>
    <row r="6" spans="1:13" x14ac:dyDescent="0.25">
      <c r="A6">
        <v>5</v>
      </c>
      <c r="B6" t="s">
        <v>15</v>
      </c>
      <c r="C6">
        <v>540000</v>
      </c>
      <c r="D6">
        <v>11800</v>
      </c>
      <c r="E6">
        <v>275000</v>
      </c>
      <c r="F6">
        <v>275000</v>
      </c>
      <c r="G6">
        <v>9520</v>
      </c>
      <c r="H6">
        <v>4500</v>
      </c>
      <c r="I6">
        <v>4000</v>
      </c>
      <c r="J6">
        <f t="shared" si="0"/>
        <v>18020</v>
      </c>
      <c r="K6">
        <f t="shared" si="1"/>
        <v>561800</v>
      </c>
      <c r="L6">
        <f t="shared" si="2"/>
        <v>521980</v>
      </c>
      <c r="M6">
        <f t="shared" si="3"/>
        <v>-21800</v>
      </c>
    </row>
  </sheetData>
  <pageMargins left="0.7" right="0.7" top="0.75" bottom="0.75" header="0.3" footer="0.3"/>
  <headerFooter>
    <oddFooter>&amp;L_x000D_&amp;1#&amp;"Aptos"&amp;10&amp;K000000 Interní /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Bartyzal Jan</cp:lastModifiedBy>
  <dcterms:created xsi:type="dcterms:W3CDTF">2015-06-05T18:19:34Z</dcterms:created>
  <dcterms:modified xsi:type="dcterms:W3CDTF">2026-04-13T12:25:35Z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6d5027-2c74-4041-897e-53f219414518_Enabled">
    <vt:lpwstr>true</vt:lpwstr>
  </property>
  <property fmtid="{D5CDD505-2E9C-101B-9397-08002B2CF9AE}" pid="3" name="MSIP_Label_756d5027-2c74-4041-897e-53f219414518_SetDate">
    <vt:lpwstr>2026-04-13T12:25:35Z</vt:lpwstr>
  </property>
  <property fmtid="{D5CDD505-2E9C-101B-9397-08002B2CF9AE}" pid="4" name="MSIP_Label_756d5027-2c74-4041-897e-53f219414518_Method">
    <vt:lpwstr>Standard</vt:lpwstr>
  </property>
  <property fmtid="{D5CDD505-2E9C-101B-9397-08002B2CF9AE}" pid="5" name="MSIP_Label_756d5027-2c74-4041-897e-53f219414518_Name">
    <vt:lpwstr>Interní-CZE-Viditelna</vt:lpwstr>
  </property>
  <property fmtid="{D5CDD505-2E9C-101B-9397-08002B2CF9AE}" pid="6" name="MSIP_Label_756d5027-2c74-4041-897e-53f219414518_SiteId">
    <vt:lpwstr>cbeb3ecc-6f45-4183-b5a8-088140deae5d</vt:lpwstr>
  </property>
  <property fmtid="{D5CDD505-2E9C-101B-9397-08002B2CF9AE}" pid="7" name="MSIP_Label_756d5027-2c74-4041-897e-53f219414518_ActionId">
    <vt:lpwstr>f2aff6c6-35c6-43ab-ac05-35e694ad59ba</vt:lpwstr>
  </property>
  <property fmtid="{D5CDD505-2E9C-101B-9397-08002B2CF9AE}" pid="8" name="MSIP_Label_756d5027-2c74-4041-897e-53f219414518_ContentBits">
    <vt:lpwstr>2</vt:lpwstr>
  </property>
  <property fmtid="{D5CDD505-2E9C-101B-9397-08002B2CF9AE}" pid="9" name="MSIP_Label_756d5027-2c74-4041-897e-53f219414518_Tag">
    <vt:lpwstr>10, 3, 0, 1</vt:lpwstr>
  </property>
</Properties>
</file>