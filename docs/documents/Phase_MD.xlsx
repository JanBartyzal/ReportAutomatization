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Codes\GCP\ReportAutomatization\docs\documents\"/>
    </mc:Choice>
  </mc:AlternateContent>
  <xr:revisionPtr revIDLastSave="0" documentId="13_ncr:1_{5EDF94E3-C5F6-4854-B8A2-39E51D8B445B}" xr6:coauthVersionLast="47" xr6:coauthVersionMax="47" xr10:uidLastSave="{00000000-0000-0000-0000-000000000000}"/>
  <bookViews>
    <workbookView xWindow="1725" yWindow="30" windowWidth="16875" windowHeight="19740" xr2:uid="{65FB9BFE-2AEF-447A-9A3A-7AE86E19D06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G128" i="1"/>
  <c r="G127" i="1"/>
  <c r="G126" i="1"/>
  <c r="F114" i="1"/>
  <c r="F113" i="1"/>
  <c r="F112" i="1"/>
  <c r="F111" i="1"/>
  <c r="G102" i="1"/>
  <c r="G101" i="1"/>
  <c r="G100" i="1"/>
  <c r="G99" i="1"/>
  <c r="G87" i="1"/>
  <c r="G86" i="1"/>
  <c r="G85" i="1"/>
  <c r="G84" i="1"/>
  <c r="G72" i="1"/>
  <c r="G71" i="1"/>
  <c r="G70" i="1"/>
  <c r="G69" i="1"/>
  <c r="G57" i="1"/>
  <c r="G56" i="1"/>
  <c r="G55" i="1"/>
  <c r="G54" i="1"/>
  <c r="G42" i="1"/>
  <c r="G40" i="1"/>
  <c r="G39" i="1"/>
  <c r="G38" i="1"/>
  <c r="G37" i="1"/>
  <c r="G28" i="1"/>
  <c r="G27" i="1"/>
  <c r="G26" i="1"/>
  <c r="G25" i="1"/>
  <c r="G24" i="1"/>
  <c r="G23" i="1"/>
  <c r="G14" i="1"/>
  <c r="G13" i="1"/>
  <c r="G12" i="1"/>
  <c r="G11" i="1"/>
  <c r="G10" i="1"/>
  <c r="G9" i="1"/>
  <c r="G8" i="1"/>
  <c r="G7" i="1"/>
  <c r="G6" i="1"/>
  <c r="F131" i="1"/>
  <c r="D145" i="1" s="1"/>
  <c r="E131" i="1"/>
  <c r="E115" i="1"/>
  <c r="D144" i="1" s="1"/>
  <c r="D115" i="1"/>
  <c r="C144" i="1" s="1"/>
  <c r="F103" i="1"/>
  <c r="D143" i="1" s="1"/>
  <c r="E103" i="1"/>
  <c r="C143" i="1" s="1"/>
  <c r="F88" i="1"/>
  <c r="D142" i="1" s="1"/>
  <c r="E88" i="1"/>
  <c r="C142" i="1" s="1"/>
  <c r="F73" i="1"/>
  <c r="D141" i="1" s="1"/>
  <c r="E73" i="1"/>
  <c r="C141" i="1" s="1"/>
  <c r="F58" i="1"/>
  <c r="D140" i="1" s="1"/>
  <c r="E58" i="1"/>
  <c r="C140" i="1" s="1"/>
  <c r="F43" i="1"/>
  <c r="E43" i="1"/>
  <c r="C139" i="1" s="1"/>
  <c r="F29" i="1"/>
  <c r="D138" i="1" s="1"/>
  <c r="E29" i="1"/>
  <c r="C138" i="1" s="1"/>
  <c r="F15" i="1"/>
  <c r="D137" i="1" s="1"/>
  <c r="E15" i="1"/>
  <c r="G131" i="1" l="1"/>
  <c r="E143" i="1"/>
  <c r="F143" i="1" s="1"/>
  <c r="G88" i="1"/>
  <c r="G58" i="1"/>
  <c r="F115" i="1"/>
  <c r="G103" i="1"/>
  <c r="E140" i="1"/>
  <c r="F140" i="1" s="1"/>
  <c r="C145" i="1"/>
  <c r="E145" i="1" s="1"/>
  <c r="F145" i="1" s="1"/>
  <c r="G43" i="1"/>
  <c r="D139" i="1"/>
  <c r="E139" i="1" s="1"/>
  <c r="F139" i="1" s="1"/>
  <c r="E138" i="1"/>
  <c r="F138" i="1" s="1"/>
  <c r="G29" i="1"/>
  <c r="E144" i="1"/>
  <c r="F144" i="1" s="1"/>
  <c r="E142" i="1"/>
  <c r="F142" i="1" s="1"/>
  <c r="E141" i="1"/>
  <c r="F141" i="1" s="1"/>
  <c r="G73" i="1"/>
  <c r="C137" i="1"/>
  <c r="G15" i="1"/>
  <c r="D146" i="1" l="1"/>
  <c r="E137" i="1"/>
  <c r="C146" i="1"/>
  <c r="F137" i="1" l="1"/>
  <c r="E146" i="1"/>
  <c r="F146" i="1" s="1"/>
</calcChain>
</file>

<file path=xl/sharedStrings.xml><?xml version="1.0" encoding="utf-8"?>
<sst xmlns="http://schemas.openxmlformats.org/spreadsheetml/2006/main" count="311" uniqueCount="175">
  <si>
    <t>Phase 1 – MVP Core (M1–2)</t>
  </si>
  <si>
    <r>
      <t>Cíl:</t>
    </r>
    <r>
      <rPr>
        <sz val="11"/>
        <color theme="1"/>
        <rFont val="Aptos Narrow"/>
        <family val="2"/>
        <charset val="238"/>
        <scheme val="minor"/>
      </rPr>
      <t xml:space="preserve"> End-to-end průchod jednoho PPTX souboru – upload, parsování, uložení, základní viewer.</t>
    </r>
  </si>
  <si>
    <t>Unit ID</t>
  </si>
  <si>
    <t>Název</t>
  </si>
  <si>
    <t>Tech Stack</t>
  </si>
  <si>
    <t>MD</t>
  </si>
  <si>
    <t>MD (AI)</t>
  </si>
  <si>
    <t>Úspora</t>
  </si>
  <si>
    <t>MS-GW</t>
  </si>
  <si>
    <t>API Gateway</t>
  </si>
  <si>
    <t>Traefik (config)</t>
  </si>
  <si>
    <t>MS-AUTH</t>
  </si>
  <si>
    <t>Auth Service</t>
  </si>
  <si>
    <t>Java 21 + Spring Boot</t>
  </si>
  <si>
    <t>MS-ING</t>
  </si>
  <si>
    <t>File Ingestor</t>
  </si>
  <si>
    <t>MS-SCAN</t>
  </si>
  <si>
    <t>Security Scanner</t>
  </si>
  <si>
    <t>ClamAV (sidecar)</t>
  </si>
  <si>
    <t>MS-ATM-PPTX</t>
  </si>
  <si>
    <t>PPTX Atomizer</t>
  </si>
  <si>
    <t>Python + FastAPI</t>
  </si>
  <si>
    <t>MS-SINK-TBL</t>
  </si>
  <si>
    <t>Table API (Sink)</t>
  </si>
  <si>
    <t>MS-SINK-LOG</t>
  </si>
  <si>
    <t>Log API (Sink)</t>
  </si>
  <si>
    <t>MS-N8N</t>
  </si>
  <si>
    <t>N8N Orchestrator</t>
  </si>
  <si>
    <t>N8N (JSON workflows)</t>
  </si>
  <si>
    <t>MS-FE</t>
  </si>
  <si>
    <r>
      <t xml:space="preserve">Frontend SPA </t>
    </r>
    <r>
      <rPr>
        <i/>
        <sz val="11"/>
        <color theme="1"/>
        <rFont val="Aptos Narrow"/>
        <family val="2"/>
        <charset val="238"/>
        <scheme val="minor"/>
      </rPr>
      <t>(MD zahrnuje všechny fáze)</t>
    </r>
  </si>
  <si>
    <t>React 18 + Vite + TS + Tailwind</t>
  </si>
  <si>
    <t>Celkem</t>
  </si>
  <si>
    <t>Phase 2 – Extended Parsing (M3–4)</t>
  </si>
  <si>
    <r>
      <t>Cíl:</t>
    </r>
    <r>
      <rPr>
        <sz val="11"/>
        <color theme="1"/>
        <rFont val="Aptos Narrow"/>
        <family val="2"/>
        <charset val="238"/>
        <scheme val="minor"/>
      </rPr>
      <t xml:space="preserve"> Plná podpora formátů, RLS, Schema Mapping základ, BI dashboardy.</t>
    </r>
  </si>
  <si>
    <t>MS-ATM-XLS</t>
  </si>
  <si>
    <t>Excel Atomizer</t>
  </si>
  <si>
    <t>MS-ATM-PDF</t>
  </si>
  <si>
    <t>PDF/OCR Atomizer</t>
  </si>
  <si>
    <t>MS-ATM-CSV</t>
  </si>
  <si>
    <t>CSV Atomizer</t>
  </si>
  <si>
    <t>MS-ATM-CLN</t>
  </si>
  <si>
    <t>Cleanup Worker</t>
  </si>
  <si>
    <t>Python (CronJob)</t>
  </si>
  <si>
    <t>MS-QRY</t>
  </si>
  <si>
    <t>Query API (Read)</t>
  </si>
  <si>
    <t>MS-DASH</t>
  </si>
  <si>
    <t>Dashboard Aggregation</t>
  </si>
  <si>
    <t>Phase 3 – Intelligence &amp; Admin (M5–6)</t>
  </si>
  <si>
    <r>
      <t>Cíl:</t>
    </r>
    <r>
      <rPr>
        <sz val="11"/>
        <color theme="1"/>
        <rFont val="Aptos Narrow"/>
        <family val="2"/>
        <charset val="238"/>
        <scheme val="minor"/>
      </rPr>
      <t xml:space="preserve"> Holdingová hierarchie, AI integrace, Schema Mapping s learningem.</t>
    </r>
  </si>
  <si>
    <t>MS-ADMIN</t>
  </si>
  <si>
    <t>Admin Backend</t>
  </si>
  <si>
    <t>MS-BATCH</t>
  </si>
  <si>
    <t>Batch &amp; Org Service</t>
  </si>
  <si>
    <t>MS-TMPL</t>
  </si>
  <si>
    <t>Template &amp; Schema Registry</t>
  </si>
  <si>
    <t>MS-ATM-AI</t>
  </si>
  <si>
    <t>AI Gateway</t>
  </si>
  <si>
    <t>MS-MCP</t>
  </si>
  <si>
    <t>MCP Server (AI Agent)</t>
  </si>
  <si>
    <r>
      <t>Poznámka MS-TMPL:</t>
    </r>
    <r>
      <rPr>
        <sz val="11"/>
        <color theme="1"/>
        <rFont val="Aptos Narrow"/>
        <family val="2"/>
        <charset val="238"/>
        <scheme val="minor"/>
      </rPr>
      <t xml:space="preserve"> Learning algoritmus Schema Mappingu (predikce mapování z historie) je náročný na logiku – AI Agent generuje strukturu, ale algoritmus musí být navržen člověkem. Proto nižší redukce (30 %) oproti standardnímu CRUD.</t>
    </r>
  </si>
  <si>
    <t>Phase 3b – Reporting Lifecycle (M6–7)</t>
  </si>
  <si>
    <r>
      <t>Cíl:</t>
    </r>
    <r>
      <rPr>
        <sz val="11"/>
        <color theme="1"/>
        <rFont val="Aptos Narrow"/>
        <family val="2"/>
        <charset val="238"/>
        <scheme val="minor"/>
      </rPr>
      <t xml:space="preserve"> Nahradit e-mail/Excel workflow řízeným reportingovým cyklem se stavovým automatem.</t>
    </r>
  </si>
  <si>
    <t>MS-LIFECYCLE</t>
  </si>
  <si>
    <t>Report Lifecycle Service</t>
  </si>
  <si>
    <t>MS-PERIOD</t>
  </si>
  <si>
    <t>Reporting Period Manager</t>
  </si>
  <si>
    <r>
      <t xml:space="preserve">MS-N8N </t>
    </r>
    <r>
      <rPr>
        <i/>
        <sz val="11"/>
        <color theme="1"/>
        <rFont val="Aptos Narrow"/>
        <family val="2"/>
        <charset val="238"/>
        <scheme val="minor"/>
      </rPr>
      <t>(rozšíření)</t>
    </r>
  </si>
  <si>
    <t>N8N – Lifecycle Workflows</t>
  </si>
  <si>
    <r>
      <t xml:space="preserve">MS-FE </t>
    </r>
    <r>
      <rPr>
        <i/>
        <sz val="11"/>
        <color theme="1"/>
        <rFont val="Aptos Narrow"/>
        <family val="2"/>
        <charset val="238"/>
        <scheme val="minor"/>
      </rPr>
      <t>(rozšíření)</t>
    </r>
  </si>
  <si>
    <t>Frontend – Lifecycle UI</t>
  </si>
  <si>
    <t>React</t>
  </si>
  <si>
    <r>
      <t>Poznámka MS-LIFECYCLE:</t>
    </r>
    <r>
      <rPr>
        <sz val="11"/>
        <color theme="1"/>
        <rFont val="Aptos Narrow"/>
        <family val="2"/>
        <charset val="238"/>
        <scheme val="minor"/>
      </rPr>
      <t xml:space="preserve"> Stavový automat je přímočarý na implementaci, ale validační podmínky přechodů (RBAC + business rules) a edge cases vyžadují důkladný lidský review. AI generuje strukturu i testy, lidský vývojář ověřuje korektnost přechodových pravidel.</t>
    </r>
  </si>
  <si>
    <t>Phase 3c – Form Builder (M7–8)</t>
  </si>
  <si>
    <r>
      <t>Cíl:</t>
    </r>
    <r>
      <rPr>
        <sz val="11"/>
        <color theme="1"/>
        <rFont val="Aptos Narrow"/>
        <family val="2"/>
        <charset val="238"/>
        <scheme val="minor"/>
      </rPr>
      <t xml:space="preserve"> Centrální sběr OPEX dat přes formuláře – konec rozesílání Excel šablon e-mailem.</t>
    </r>
  </si>
  <si>
    <t>MS-FORM</t>
  </si>
  <si>
    <t>Form Builder &amp; Data Collection</t>
  </si>
  <si>
    <r>
      <t xml:space="preserve">MS-FORM </t>
    </r>
    <r>
      <rPr>
        <i/>
        <sz val="11"/>
        <color theme="1"/>
        <rFont val="Aptos Narrow"/>
        <family val="2"/>
        <charset val="238"/>
        <scheme val="minor"/>
      </rPr>
      <t>(Excel export/import)</t>
    </r>
  </si>
  <si>
    <t>Excel Template Export/Import</t>
  </si>
  <si>
    <r>
      <t xml:space="preserve">MS-SINK-TBL </t>
    </r>
    <r>
      <rPr>
        <i/>
        <sz val="11"/>
        <color theme="1"/>
        <rFont val="Aptos Narrow"/>
        <family val="2"/>
        <charset val="238"/>
        <scheme val="minor"/>
      </rPr>
      <t>(rozšíření)</t>
    </r>
  </si>
  <si>
    <t>Table API – form_responses</t>
  </si>
  <si>
    <t>Frontend – Form UI</t>
  </si>
  <si>
    <r>
      <t>Poznámka MS-FORM:</t>
    </r>
    <r>
      <rPr>
        <sz val="11"/>
        <color theme="1"/>
        <rFont val="Aptos Narrow"/>
        <family val="2"/>
        <charset val="238"/>
        <scheme val="minor"/>
      </rPr>
      <t xml:space="preserve"> Form engine (dynamické typy polí, závislostní validace, verzování) je nejkomplexnější nová service. AI Agent generuje scaffolding a CRUD, ale validační engine a verzovací logiku musí vývojář navrhnout a reviewovat ručně – odtud konzervativnějších 30 %.</t>
    </r>
  </si>
  <si>
    <t>Phase 4 – Enterprise Features (M8–9)</t>
  </si>
  <si>
    <r>
      <t>Cíl:</t>
    </r>
    <r>
      <rPr>
        <sz val="11"/>
        <color theme="1"/>
        <rFont val="Aptos Narrow"/>
        <family val="2"/>
        <charset val="238"/>
        <scheme val="minor"/>
      </rPr>
      <t xml:space="preserve"> Compliance, verzování, notifikace, audit – production readiness.</t>
    </r>
  </si>
  <si>
    <t>MS-NOTIF</t>
  </si>
  <si>
    <t>Notification Center</t>
  </si>
  <si>
    <t>MS-VER</t>
  </si>
  <si>
    <t>Versioning Service</t>
  </si>
  <si>
    <t>MS-AUDIT</t>
  </si>
  <si>
    <t>Audit &amp; Compliance</t>
  </si>
  <si>
    <t>MS-SRCH</t>
  </si>
  <si>
    <t>Search Service</t>
  </si>
  <si>
    <r>
      <t>Poznámka MS-AUDIT:</t>
    </r>
    <r>
      <rPr>
        <sz val="11"/>
        <color theme="1"/>
        <rFont val="Aptos Narrow"/>
        <family val="2"/>
        <charset val="238"/>
        <scheme val="minor"/>
      </rPr>
      <t xml:space="preserve"> Immutable log a compliance export jsou technicky přímočaré (append-only tabulka, export endpoint) – proto vyšší redukce i přes bezpečnostní citlivost. Security review zůstává na člověku.</t>
    </r>
  </si>
  <si>
    <t>Phase 4b – PPTX Report Generation (M9–10)</t>
  </si>
  <si>
    <r>
      <t>Cíl:</t>
    </r>
    <r>
      <rPr>
        <sz val="11"/>
        <color theme="1"/>
        <rFont val="Aptos Narrow"/>
        <family val="2"/>
        <charset val="238"/>
        <scheme val="minor"/>
      </rPr>
      <t xml:space="preserve"> Uzavřít cyklus – ze schválených dat automaticky vygenerovat standardizovaný PPTX report.</t>
    </r>
  </si>
  <si>
    <t>MS-TMPL-PPTX</t>
  </si>
  <si>
    <t>PPTX Template Manager</t>
  </si>
  <si>
    <t>MS-GEN-PPTX</t>
  </si>
  <si>
    <t>PPTX Generator</t>
  </si>
  <si>
    <t>Python + FastAPI (python-pptx, matplotlib)</t>
  </si>
  <si>
    <t>N8N – Generation Workflow</t>
  </si>
  <si>
    <t>Frontend – Generator UI</t>
  </si>
  <si>
    <t>Phase 5 – DevOps Maturity (M10–11)</t>
  </si>
  <si>
    <r>
      <t>Cíl:</t>
    </r>
    <r>
      <rPr>
        <sz val="11"/>
        <color theme="1"/>
        <rFont val="Aptos Narrow"/>
        <family val="2"/>
        <charset val="238"/>
        <scheme val="minor"/>
      </rPr>
      <t xml:space="preserve"> Production-ready observability, CI/CD, onboarding prvního holdingu.</t>
    </r>
  </si>
  <si>
    <t>Oblast</t>
  </si>
  <si>
    <t>Popis</t>
  </si>
  <si>
    <t>Observability Stack</t>
  </si>
  <si>
    <t>OpenTelemetry + Prometheus + Grafana + Loki</t>
  </si>
  <si>
    <t>CI/CD Pipelines</t>
  </si>
  <si>
    <t>GitHub Actions / Azure DevOps; Native Image pipeline</t>
  </si>
  <si>
    <t>Local Dev</t>
  </si>
  <si>
    <t>Tilt / Skaffold konfigurace</t>
  </si>
  <si>
    <t>First Holding Onboarding</t>
  </si>
  <si>
    <t>AAD tenant, KeyVault, první perioda, Schema Mapping tuning</t>
  </si>
  <si>
    <r>
      <t>Poznámka Phase 5:</t>
    </r>
    <r>
      <rPr>
        <sz val="11"/>
        <color theme="1"/>
        <rFont val="Aptos Narrow"/>
        <family val="2"/>
        <charset val="238"/>
        <scheme val="minor"/>
      </rPr>
      <t xml:space="preserve"> DevOps konfigurace a onboarding mají nejnižší AI úsporu. Observability a CI/CD YAML lze z části generovat, ale výsledné pipeline a Grafana dashboardy vyžadují ladění na konkrétní infrastruktuře. Onboarding je čistě lidská práce.</t>
    </r>
  </si>
  <si>
    <t>Phase 6 – Local Scope &amp; Advanced Analytics (M12+)</t>
  </si>
  <si>
    <r>
      <t>Cíl:</t>
    </r>
    <r>
      <rPr>
        <sz val="11"/>
        <color theme="1"/>
        <rFont val="Aptos Narrow"/>
        <family val="2"/>
        <charset val="238"/>
        <scheme val="minor"/>
      </rPr>
      <t xml:space="preserve"> Platforma pro interní reporting dceřiných společností; pokročilé srovnání period.</t>
    </r>
  </si>
  <si>
    <r>
      <t xml:space="preserve">MS-FORM </t>
    </r>
    <r>
      <rPr>
        <i/>
        <sz val="11"/>
        <color theme="1"/>
        <rFont val="Aptos Narrow"/>
        <family val="2"/>
        <charset val="238"/>
        <scheme val="minor"/>
      </rPr>
      <t>(rozšíření – FS21)</t>
    </r>
  </si>
  <si>
    <t>Local Forms</t>
  </si>
  <si>
    <r>
      <t xml:space="preserve">MS-TMPL-PPTX </t>
    </r>
    <r>
      <rPr>
        <i/>
        <sz val="11"/>
        <color theme="1"/>
        <rFont val="Aptos Narrow"/>
        <family val="2"/>
        <charset val="238"/>
        <scheme val="minor"/>
      </rPr>
      <t>(rozšíření – FS21)</t>
    </r>
  </si>
  <si>
    <t>Local PPTX Templates</t>
  </si>
  <si>
    <r>
      <t xml:space="preserve">MS-ADMIN </t>
    </r>
    <r>
      <rPr>
        <i/>
        <sz val="11"/>
        <color theme="1"/>
        <rFont val="Aptos Narrow"/>
        <family val="2"/>
        <charset val="238"/>
        <scheme val="minor"/>
      </rPr>
      <t>(rozšíření – FS21)</t>
    </r>
  </si>
  <si>
    <t>CompanyAdmin Role</t>
  </si>
  <si>
    <r>
      <t xml:space="preserve">MS-PERIOD </t>
    </r>
    <r>
      <rPr>
        <i/>
        <sz val="11"/>
        <color theme="1"/>
        <rFont val="Aptos Narrow"/>
        <family val="2"/>
        <charset val="238"/>
        <scheme val="minor"/>
      </rPr>
      <t>(rozšíření – FS22)</t>
    </r>
  </si>
  <si>
    <t>Advanced Period Comparison</t>
  </si>
  <si>
    <t>TBD</t>
  </si>
  <si>
    <t>Frontend – Local Scope UI</t>
  </si>
  <si>
    <t>Celkem (bez TBD)</t>
  </si>
  <si>
    <t>Souhrnný přehled</t>
  </si>
  <si>
    <t>Phase 1 – MVP Core</t>
  </si>
  <si>
    <t>M1–2</t>
  </si>
  <si>
    <t>Upload + PPTX extrakce + viewer</t>
  </si>
  <si>
    <t>Phase 2 – Extended Parsing</t>
  </si>
  <si>
    <t>M3–4</t>
  </si>
  <si>
    <t>Všechny formáty + BI dashboardy</t>
  </si>
  <si>
    <t>Phase 3 – Intelligence &amp; Admin</t>
  </si>
  <si>
    <t>M5–6</t>
  </si>
  <si>
    <t>AI, Schema Mapping, holdingová hierarchie</t>
  </si>
  <si>
    <t>Phase 3b – Reporting Lifecycle</t>
  </si>
  <si>
    <t>M6–7</t>
  </si>
  <si>
    <t>Stavový automat, periody, deadliny</t>
  </si>
  <si>
    <t>Phase 3c – Form Builder</t>
  </si>
  <si>
    <t>M7–8</t>
  </si>
  <si>
    <t>Centrální sběr dat, Excel export/import</t>
  </si>
  <si>
    <t>Phase 4 – Enterprise Features</t>
  </si>
  <si>
    <t>M8–9</t>
  </si>
  <si>
    <t>Audit, versioning, notifikace</t>
  </si>
  <si>
    <t>Phase 4b – PPTX Generator</t>
  </si>
  <si>
    <t>M9–10</t>
  </si>
  <si>
    <t>Automatické generování reportů</t>
  </si>
  <si>
    <t>Phase 5 – DevOps &amp; Onboarding</t>
  </si>
  <si>
    <t>M10–11</t>
  </si>
  <si>
    <t>Production-ready, první holding live</t>
  </si>
  <si>
    <t>Phase 6 – Local Scope &amp; Advanced</t>
  </si>
  <si>
    <t>M12+</t>
  </si>
  <si>
    <t>Lokální reporting, pokročilé srovnání</t>
  </si>
  <si>
    <t>CELKEM</t>
  </si>
  <si>
    <t>Saving</t>
  </si>
  <si>
    <t>---</t>
  </si>
  <si>
    <t>AI P/rompting</t>
  </si>
  <si>
    <t>Prompts</t>
  </si>
  <si>
    <t>Name</t>
  </si>
  <si>
    <t>Phase</t>
  </si>
  <si>
    <t>Months</t>
  </si>
  <si>
    <t>Savings</t>
  </si>
  <si>
    <t>Sav%</t>
  </si>
  <si>
    <t>Key Output</t>
  </si>
  <si>
    <t>Unit Area</t>
  </si>
  <si>
    <t>MS-CORE</t>
  </si>
  <si>
    <t>MS-INGESTOR</t>
  </si>
  <si>
    <t>MS-PROCESSOR</t>
  </si>
  <si>
    <t>MS-DATA</t>
  </si>
  <si>
    <t>MS-AI</t>
  </si>
  <si>
    <t>MS-REPORTING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</si>
</sst>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8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9" fontId="0" fillId="0" borderId="6" xfId="1" applyFont="1" applyBorder="1" applyAlignment="1">
      <alignment vertical="center" wrapText="1"/>
    </xf>
    <xf numFmtId="0" fontId="0" fillId="0" borderId="6" xfId="0" quotePrefix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9" fontId="0" fillId="0" borderId="10" xfId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9" fontId="0" fillId="0" borderId="4" xfId="1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3" xfId="0" applyBorder="1"/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6146-9304-44BF-83A6-DBF979ACA966}">
  <dimension ref="A1:G146"/>
  <sheetViews>
    <sheetView tabSelected="1" topLeftCell="A143" zoomScale="145" zoomScaleNormal="145" workbookViewId="0">
      <selection activeCell="A125" sqref="A125:G131"/>
    </sheetView>
  </sheetViews>
  <sheetFormatPr defaultRowHeight="15" x14ac:dyDescent="0.25"/>
  <cols>
    <col min="1" max="1" width="15.85546875" customWidth="1"/>
    <col min="2" max="2" width="19.28515625" customWidth="1"/>
    <col min="3" max="3" width="16" customWidth="1"/>
    <col min="4" max="4" width="13.140625" customWidth="1"/>
    <col min="5" max="5" width="6.5703125" customWidth="1"/>
    <col min="6" max="6" width="5.7109375" customWidth="1"/>
    <col min="7" max="7" width="5.140625" customWidth="1"/>
  </cols>
  <sheetData>
    <row r="1" spans="1:7" ht="24" x14ac:dyDescent="0.25">
      <c r="A1" s="1" t="s">
        <v>0</v>
      </c>
    </row>
    <row r="3" spans="1:7" x14ac:dyDescent="0.25">
      <c r="A3" s="2" t="s">
        <v>1</v>
      </c>
    </row>
    <row r="4" spans="1:7" ht="15.75" thickBot="1" x14ac:dyDescent="0.3"/>
    <row r="5" spans="1:7" ht="15.75" thickBot="1" x14ac:dyDescent="0.3">
      <c r="A5" s="29" t="s">
        <v>168</v>
      </c>
      <c r="B5" s="12" t="s">
        <v>2</v>
      </c>
      <c r="C5" s="12" t="s">
        <v>162</v>
      </c>
      <c r="D5" s="12" t="s">
        <v>4</v>
      </c>
      <c r="E5" s="12" t="s">
        <v>5</v>
      </c>
      <c r="F5" s="12" t="s">
        <v>6</v>
      </c>
      <c r="G5" s="13" t="s">
        <v>158</v>
      </c>
    </row>
    <row r="6" spans="1:7" ht="30" x14ac:dyDescent="0.25">
      <c r="A6" s="28" t="s">
        <v>8</v>
      </c>
      <c r="B6" s="10" t="s">
        <v>8</v>
      </c>
      <c r="C6" s="10" t="s">
        <v>9</v>
      </c>
      <c r="D6" s="10" t="s">
        <v>10</v>
      </c>
      <c r="E6" s="10">
        <v>1</v>
      </c>
      <c r="F6" s="10">
        <v>1</v>
      </c>
      <c r="G6" s="10">
        <f>E6-F6</f>
        <v>0</v>
      </c>
    </row>
    <row r="7" spans="1:7" ht="30" x14ac:dyDescent="0.25">
      <c r="A7" s="26" t="s">
        <v>169</v>
      </c>
      <c r="B7" s="5" t="s">
        <v>11</v>
      </c>
      <c r="C7" s="5" t="s">
        <v>12</v>
      </c>
      <c r="D7" s="5" t="s">
        <v>13</v>
      </c>
      <c r="E7" s="5">
        <v>30</v>
      </c>
      <c r="F7" s="5">
        <v>9</v>
      </c>
      <c r="G7" s="10">
        <f t="shared" ref="G7:G14" si="0">E7-F7</f>
        <v>21</v>
      </c>
    </row>
    <row r="8" spans="1:7" ht="30" x14ac:dyDescent="0.25">
      <c r="A8" s="26" t="s">
        <v>170</v>
      </c>
      <c r="B8" s="5" t="s">
        <v>14</v>
      </c>
      <c r="C8" s="5" t="s">
        <v>15</v>
      </c>
      <c r="D8" s="5" t="s">
        <v>13</v>
      </c>
      <c r="E8" s="5">
        <v>25</v>
      </c>
      <c r="F8" s="5">
        <v>8</v>
      </c>
      <c r="G8" s="10">
        <f t="shared" si="0"/>
        <v>17</v>
      </c>
    </row>
    <row r="9" spans="1:7" ht="30" x14ac:dyDescent="0.25">
      <c r="A9" s="26" t="s">
        <v>170</v>
      </c>
      <c r="B9" s="5" t="s">
        <v>16</v>
      </c>
      <c r="C9" s="5" t="s">
        <v>17</v>
      </c>
      <c r="D9" s="5" t="s">
        <v>18</v>
      </c>
      <c r="E9" s="5">
        <v>5</v>
      </c>
      <c r="F9" s="5">
        <v>4</v>
      </c>
      <c r="G9" s="10">
        <f t="shared" si="0"/>
        <v>1</v>
      </c>
    </row>
    <row r="10" spans="1:7" ht="30" x14ac:dyDescent="0.25">
      <c r="A10" s="26" t="s">
        <v>171</v>
      </c>
      <c r="B10" s="5" t="s">
        <v>19</v>
      </c>
      <c r="C10" s="5" t="s">
        <v>20</v>
      </c>
      <c r="D10" s="5" t="s">
        <v>21</v>
      </c>
      <c r="E10" s="5">
        <v>35</v>
      </c>
      <c r="F10" s="5">
        <v>16</v>
      </c>
      <c r="G10" s="10">
        <f t="shared" si="0"/>
        <v>19</v>
      </c>
    </row>
    <row r="11" spans="1:7" ht="30" x14ac:dyDescent="0.25">
      <c r="A11" s="26" t="s">
        <v>172</v>
      </c>
      <c r="B11" s="5" t="s">
        <v>22</v>
      </c>
      <c r="C11" s="5" t="s">
        <v>23</v>
      </c>
      <c r="D11" s="5" t="s">
        <v>13</v>
      </c>
      <c r="E11" s="5">
        <v>12</v>
      </c>
      <c r="F11" s="5">
        <v>5</v>
      </c>
      <c r="G11" s="10">
        <f t="shared" si="0"/>
        <v>7</v>
      </c>
    </row>
    <row r="12" spans="1:7" ht="30" x14ac:dyDescent="0.25">
      <c r="A12" s="26" t="s">
        <v>172</v>
      </c>
      <c r="B12" s="5" t="s">
        <v>24</v>
      </c>
      <c r="C12" s="5" t="s">
        <v>25</v>
      </c>
      <c r="D12" s="5" t="s">
        <v>13</v>
      </c>
      <c r="E12" s="5">
        <v>5</v>
      </c>
      <c r="F12" s="5">
        <v>2</v>
      </c>
      <c r="G12" s="10">
        <f t="shared" si="0"/>
        <v>3</v>
      </c>
    </row>
    <row r="13" spans="1:7" ht="30" x14ac:dyDescent="0.25">
      <c r="A13" s="26" t="s">
        <v>26</v>
      </c>
      <c r="B13" s="5" t="s">
        <v>26</v>
      </c>
      <c r="C13" s="5" t="s">
        <v>27</v>
      </c>
      <c r="D13" s="5" t="s">
        <v>28</v>
      </c>
      <c r="E13" s="5">
        <v>25</v>
      </c>
      <c r="F13" s="5">
        <v>10</v>
      </c>
      <c r="G13" s="10">
        <f t="shared" si="0"/>
        <v>15</v>
      </c>
    </row>
    <row r="14" spans="1:7" ht="45.75" thickBot="1" x14ac:dyDescent="0.3">
      <c r="A14" s="27" t="s">
        <v>29</v>
      </c>
      <c r="B14" s="6" t="s">
        <v>29</v>
      </c>
      <c r="C14" s="6" t="s">
        <v>30</v>
      </c>
      <c r="D14" s="6" t="s">
        <v>31</v>
      </c>
      <c r="E14" s="6">
        <v>45</v>
      </c>
      <c r="F14" s="6">
        <v>20</v>
      </c>
      <c r="G14" s="10">
        <f t="shared" si="0"/>
        <v>25</v>
      </c>
    </row>
    <row r="15" spans="1:7" ht="15.75" thickBot="1" x14ac:dyDescent="0.3">
      <c r="A15" s="30" t="s">
        <v>32</v>
      </c>
      <c r="B15" s="31"/>
      <c r="C15" s="31"/>
      <c r="D15" s="32"/>
      <c r="E15" s="25">
        <f>SUM(E6:E14)</f>
        <v>183</v>
      </c>
      <c r="F15" s="7">
        <f>SUM(F6:F14)</f>
        <v>75</v>
      </c>
      <c r="G15" s="8">
        <f>E15-F15</f>
        <v>108</v>
      </c>
    </row>
    <row r="18" spans="1:7" ht="24" x14ac:dyDescent="0.25">
      <c r="B18" s="1" t="s">
        <v>33</v>
      </c>
    </row>
    <row r="20" spans="1:7" x14ac:dyDescent="0.25">
      <c r="B20" s="2" t="s">
        <v>34</v>
      </c>
    </row>
    <row r="21" spans="1:7" ht="15.75" thickBot="1" x14ac:dyDescent="0.3"/>
    <row r="22" spans="1:7" ht="15.75" thickBot="1" x14ac:dyDescent="0.3">
      <c r="A22" s="29" t="s">
        <v>168</v>
      </c>
      <c r="B22" s="12" t="s">
        <v>2</v>
      </c>
      <c r="C22" s="12" t="s">
        <v>3</v>
      </c>
      <c r="D22" s="12" t="s">
        <v>4</v>
      </c>
      <c r="E22" s="12" t="s">
        <v>5</v>
      </c>
      <c r="F22" s="12" t="s">
        <v>6</v>
      </c>
      <c r="G22" s="13" t="s">
        <v>7</v>
      </c>
    </row>
    <row r="23" spans="1:7" ht="30" x14ac:dyDescent="0.25">
      <c r="A23" s="28" t="s">
        <v>171</v>
      </c>
      <c r="B23" s="10" t="s">
        <v>35</v>
      </c>
      <c r="C23" s="10" t="s">
        <v>36</v>
      </c>
      <c r="D23" s="10" t="s">
        <v>21</v>
      </c>
      <c r="E23" s="10">
        <v>15</v>
      </c>
      <c r="F23" s="10">
        <v>8</v>
      </c>
      <c r="G23" s="10">
        <f t="shared" ref="G23:G28" si="1">E23-F23</f>
        <v>7</v>
      </c>
    </row>
    <row r="24" spans="1:7" ht="30" x14ac:dyDescent="0.25">
      <c r="A24" s="26" t="s">
        <v>171</v>
      </c>
      <c r="B24" s="5" t="s">
        <v>37</v>
      </c>
      <c r="C24" s="5" t="s">
        <v>38</v>
      </c>
      <c r="D24" s="5" t="s">
        <v>21</v>
      </c>
      <c r="E24" s="5">
        <v>15</v>
      </c>
      <c r="F24" s="5">
        <v>7</v>
      </c>
      <c r="G24" s="10">
        <f t="shared" si="1"/>
        <v>8</v>
      </c>
    </row>
    <row r="25" spans="1:7" ht="30" x14ac:dyDescent="0.25">
      <c r="A25" s="26" t="s">
        <v>171</v>
      </c>
      <c r="B25" s="5" t="s">
        <v>39</v>
      </c>
      <c r="C25" s="5" t="s">
        <v>40</v>
      </c>
      <c r="D25" s="5" t="s">
        <v>21</v>
      </c>
      <c r="E25" s="5">
        <v>4</v>
      </c>
      <c r="F25" s="5">
        <v>2</v>
      </c>
      <c r="G25" s="10">
        <f t="shared" si="1"/>
        <v>2</v>
      </c>
    </row>
    <row r="26" spans="1:7" ht="30" x14ac:dyDescent="0.25">
      <c r="A26" s="26" t="s">
        <v>171</v>
      </c>
      <c r="B26" s="5" t="s">
        <v>41</v>
      </c>
      <c r="C26" s="5" t="s">
        <v>42</v>
      </c>
      <c r="D26" s="5" t="s">
        <v>43</v>
      </c>
      <c r="E26" s="5">
        <v>5</v>
      </c>
      <c r="F26" s="5">
        <v>3</v>
      </c>
      <c r="G26" s="10">
        <f t="shared" si="1"/>
        <v>2</v>
      </c>
    </row>
    <row r="27" spans="1:7" ht="30" x14ac:dyDescent="0.25">
      <c r="A27" s="26" t="s">
        <v>172</v>
      </c>
      <c r="B27" s="5" t="s">
        <v>44</v>
      </c>
      <c r="C27" s="5" t="s">
        <v>45</v>
      </c>
      <c r="D27" s="5" t="s">
        <v>13</v>
      </c>
      <c r="E27" s="5">
        <v>12</v>
      </c>
      <c r="F27" s="5">
        <v>6</v>
      </c>
      <c r="G27" s="10">
        <f t="shared" si="1"/>
        <v>6</v>
      </c>
    </row>
    <row r="28" spans="1:7" ht="30.75" thickBot="1" x14ac:dyDescent="0.3">
      <c r="A28" s="27" t="s">
        <v>172</v>
      </c>
      <c r="B28" s="6" t="s">
        <v>46</v>
      </c>
      <c r="C28" s="6" t="s">
        <v>47</v>
      </c>
      <c r="D28" s="6" t="s">
        <v>13</v>
      </c>
      <c r="E28" s="6">
        <v>35</v>
      </c>
      <c r="F28" s="6">
        <v>17</v>
      </c>
      <c r="G28" s="10">
        <f t="shared" si="1"/>
        <v>18</v>
      </c>
    </row>
    <row r="29" spans="1:7" ht="15.75" thickBot="1" x14ac:dyDescent="0.3">
      <c r="A29" s="30" t="s">
        <v>32</v>
      </c>
      <c r="B29" s="31"/>
      <c r="C29" s="31"/>
      <c r="D29" s="32"/>
      <c r="E29" s="25">
        <f>SUM(E23:E28)</f>
        <v>86</v>
      </c>
      <c r="F29" s="7">
        <f>SUM(F23:F28)</f>
        <v>43</v>
      </c>
      <c r="G29" s="8">
        <f>E29-F29</f>
        <v>43</v>
      </c>
    </row>
    <row r="32" spans="1:7" ht="24" x14ac:dyDescent="0.25">
      <c r="B32" s="1" t="s">
        <v>48</v>
      </c>
    </row>
    <row r="34" spans="1:7" x14ac:dyDescent="0.25">
      <c r="B34" s="2" t="s">
        <v>49</v>
      </c>
    </row>
    <row r="35" spans="1:7" ht="15.75" thickBot="1" x14ac:dyDescent="0.3"/>
    <row r="36" spans="1:7" ht="15.75" thickBot="1" x14ac:dyDescent="0.3">
      <c r="A36" s="29" t="s">
        <v>168</v>
      </c>
      <c r="B36" s="12" t="s">
        <v>2</v>
      </c>
      <c r="C36" s="12" t="s">
        <v>3</v>
      </c>
      <c r="D36" s="12" t="s">
        <v>4</v>
      </c>
      <c r="E36" s="12" t="s">
        <v>5</v>
      </c>
      <c r="F36" s="12" t="s">
        <v>6</v>
      </c>
      <c r="G36" s="13" t="s">
        <v>7</v>
      </c>
    </row>
    <row r="37" spans="1:7" ht="30" x14ac:dyDescent="0.25">
      <c r="A37" s="28" t="s">
        <v>169</v>
      </c>
      <c r="B37" s="10" t="s">
        <v>50</v>
      </c>
      <c r="C37" s="10" t="s">
        <v>51</v>
      </c>
      <c r="D37" s="10" t="s">
        <v>13</v>
      </c>
      <c r="E37" s="10">
        <v>20</v>
      </c>
      <c r="F37" s="10">
        <v>12</v>
      </c>
      <c r="G37" s="10">
        <f t="shared" ref="G37:G42" si="2">E37-F37</f>
        <v>8</v>
      </c>
    </row>
    <row r="38" spans="1:7" ht="30" x14ac:dyDescent="0.25">
      <c r="A38" s="26" t="s">
        <v>169</v>
      </c>
      <c r="B38" s="5" t="s">
        <v>52</v>
      </c>
      <c r="C38" s="5" t="s">
        <v>53</v>
      </c>
      <c r="D38" s="5" t="s">
        <v>13</v>
      </c>
      <c r="E38" s="5">
        <v>15</v>
      </c>
      <c r="F38" s="5">
        <v>8</v>
      </c>
      <c r="G38" s="10">
        <f t="shared" si="2"/>
        <v>7</v>
      </c>
    </row>
    <row r="39" spans="1:7" ht="30" x14ac:dyDescent="0.25">
      <c r="A39" s="26" t="s">
        <v>172</v>
      </c>
      <c r="B39" s="5" t="s">
        <v>54</v>
      </c>
      <c r="C39" s="5" t="s">
        <v>55</v>
      </c>
      <c r="D39" s="5" t="s">
        <v>13</v>
      </c>
      <c r="E39" s="5">
        <v>30</v>
      </c>
      <c r="F39" s="5">
        <v>17</v>
      </c>
      <c r="G39" s="10">
        <f t="shared" si="2"/>
        <v>13</v>
      </c>
    </row>
    <row r="40" spans="1:7" ht="30" x14ac:dyDescent="0.25">
      <c r="A40" s="26" t="s">
        <v>173</v>
      </c>
      <c r="B40" s="5" t="s">
        <v>56</v>
      </c>
      <c r="C40" s="5" t="s">
        <v>57</v>
      </c>
      <c r="D40" s="5" t="s">
        <v>21</v>
      </c>
      <c r="E40" s="5">
        <v>3</v>
      </c>
      <c r="F40" s="5">
        <v>2</v>
      </c>
      <c r="G40" s="10">
        <f t="shared" si="2"/>
        <v>1</v>
      </c>
    </row>
    <row r="41" spans="1:7" x14ac:dyDescent="0.25">
      <c r="A41" s="26" t="s">
        <v>173</v>
      </c>
      <c r="B41" s="5" t="s">
        <v>56</v>
      </c>
      <c r="C41" s="5" t="s">
        <v>160</v>
      </c>
      <c r="D41" s="5" t="s">
        <v>161</v>
      </c>
      <c r="E41" s="5">
        <v>10</v>
      </c>
      <c r="F41" s="5">
        <v>8</v>
      </c>
      <c r="G41" s="10">
        <f t="shared" ref="G41" si="3">E41-F41</f>
        <v>2</v>
      </c>
    </row>
    <row r="42" spans="1:7" ht="30.75" thickBot="1" x14ac:dyDescent="0.3">
      <c r="A42" s="27" t="s">
        <v>173</v>
      </c>
      <c r="B42" s="6" t="s">
        <v>58</v>
      </c>
      <c r="C42" s="6" t="s">
        <v>59</v>
      </c>
      <c r="D42" s="6" t="s">
        <v>21</v>
      </c>
      <c r="E42" s="6">
        <v>12</v>
      </c>
      <c r="F42" s="6">
        <v>8</v>
      </c>
      <c r="G42" s="10">
        <f t="shared" si="2"/>
        <v>4</v>
      </c>
    </row>
    <row r="43" spans="1:7" ht="15.75" thickBot="1" x14ac:dyDescent="0.3">
      <c r="A43" s="30" t="s">
        <v>32</v>
      </c>
      <c r="B43" s="31"/>
      <c r="C43" s="31"/>
      <c r="D43" s="32"/>
      <c r="E43" s="25">
        <f>SUM(E37:E42)</f>
        <v>90</v>
      </c>
      <c r="F43" s="7">
        <f>SUM(F37:F42)</f>
        <v>55</v>
      </c>
      <c r="G43" s="8">
        <f>E43-F43</f>
        <v>35</v>
      </c>
    </row>
    <row r="44" spans="1:7" x14ac:dyDescent="0.25">
      <c r="B44" s="3"/>
    </row>
    <row r="45" spans="1:7" x14ac:dyDescent="0.25">
      <c r="B45" s="4" t="s">
        <v>60</v>
      </c>
    </row>
    <row r="49" spans="1:7" ht="24" x14ac:dyDescent="0.25">
      <c r="B49" s="1" t="s">
        <v>61</v>
      </c>
    </row>
    <row r="51" spans="1:7" x14ac:dyDescent="0.25">
      <c r="B51" s="2" t="s">
        <v>62</v>
      </c>
    </row>
    <row r="52" spans="1:7" ht="15.75" thickBot="1" x14ac:dyDescent="0.3"/>
    <row r="53" spans="1:7" ht="15.75" thickBot="1" x14ac:dyDescent="0.3">
      <c r="A53" s="29" t="s">
        <v>168</v>
      </c>
      <c r="B53" s="12" t="s">
        <v>2</v>
      </c>
      <c r="C53" s="12" t="s">
        <v>3</v>
      </c>
      <c r="D53" s="12" t="s">
        <v>4</v>
      </c>
      <c r="E53" s="12" t="s">
        <v>5</v>
      </c>
      <c r="F53" s="12" t="s">
        <v>6</v>
      </c>
      <c r="G53" s="13" t="s">
        <v>7</v>
      </c>
    </row>
    <row r="54" spans="1:7" ht="30" x14ac:dyDescent="0.25">
      <c r="A54" s="28" t="s">
        <v>174</v>
      </c>
      <c r="B54" s="10" t="s">
        <v>63</v>
      </c>
      <c r="C54" s="10" t="s">
        <v>64</v>
      </c>
      <c r="D54" s="10" t="s">
        <v>13</v>
      </c>
      <c r="E54" s="10">
        <v>25</v>
      </c>
      <c r="F54" s="10">
        <v>12</v>
      </c>
      <c r="G54" s="10">
        <f t="shared" ref="G54:G57" si="4">E54-F54</f>
        <v>13</v>
      </c>
    </row>
    <row r="55" spans="1:7" ht="30" x14ac:dyDescent="0.25">
      <c r="A55" s="26" t="s">
        <v>174</v>
      </c>
      <c r="B55" s="5" t="s">
        <v>65</v>
      </c>
      <c r="C55" s="5" t="s">
        <v>66</v>
      </c>
      <c r="D55" s="5" t="s">
        <v>13</v>
      </c>
      <c r="E55" s="5">
        <v>15</v>
      </c>
      <c r="F55" s="5">
        <v>8</v>
      </c>
      <c r="G55" s="10">
        <f t="shared" si="4"/>
        <v>7</v>
      </c>
    </row>
    <row r="56" spans="1:7" ht="30" x14ac:dyDescent="0.25">
      <c r="A56" s="26" t="s">
        <v>26</v>
      </c>
      <c r="B56" s="5" t="s">
        <v>67</v>
      </c>
      <c r="C56" s="5" t="s">
        <v>68</v>
      </c>
      <c r="D56" s="5" t="s">
        <v>28</v>
      </c>
      <c r="E56" s="5">
        <v>15</v>
      </c>
      <c r="F56" s="5">
        <v>12</v>
      </c>
      <c r="G56" s="10">
        <f t="shared" si="4"/>
        <v>3</v>
      </c>
    </row>
    <row r="57" spans="1:7" ht="30.75" thickBot="1" x14ac:dyDescent="0.3">
      <c r="A57" s="27" t="s">
        <v>29</v>
      </c>
      <c r="B57" s="6" t="s">
        <v>69</v>
      </c>
      <c r="C57" s="6" t="s">
        <v>70</v>
      </c>
      <c r="D57" s="6" t="s">
        <v>71</v>
      </c>
      <c r="E57" s="6">
        <v>20</v>
      </c>
      <c r="F57" s="6">
        <v>8</v>
      </c>
      <c r="G57" s="10">
        <f t="shared" si="4"/>
        <v>12</v>
      </c>
    </row>
    <row r="58" spans="1:7" ht="15.75" thickBot="1" x14ac:dyDescent="0.3">
      <c r="A58" s="30" t="s">
        <v>32</v>
      </c>
      <c r="B58" s="31"/>
      <c r="C58" s="31"/>
      <c r="D58" s="32"/>
      <c r="E58" s="25">
        <f>SUM(E54:E57)</f>
        <v>75</v>
      </c>
      <c r="F58" s="7">
        <f>SUM(F54:F57)</f>
        <v>40</v>
      </c>
      <c r="G58" s="8">
        <f>E58-F58</f>
        <v>35</v>
      </c>
    </row>
    <row r="59" spans="1:7" x14ac:dyDescent="0.25">
      <c r="B59" s="3"/>
    </row>
    <row r="60" spans="1:7" x14ac:dyDescent="0.25">
      <c r="B60" s="4" t="s">
        <v>72</v>
      </c>
    </row>
    <row r="64" spans="1:7" ht="24" x14ac:dyDescent="0.25">
      <c r="B64" s="1" t="s">
        <v>73</v>
      </c>
    </row>
    <row r="66" spans="1:7" x14ac:dyDescent="0.25">
      <c r="B66" s="2" t="s">
        <v>74</v>
      </c>
    </row>
    <row r="67" spans="1:7" ht="15.75" thickBot="1" x14ac:dyDescent="0.3"/>
    <row r="68" spans="1:7" ht="15.75" thickBot="1" x14ac:dyDescent="0.3">
      <c r="A68" s="29" t="s">
        <v>168</v>
      </c>
      <c r="B68" s="12" t="s">
        <v>2</v>
      </c>
      <c r="C68" s="12" t="s">
        <v>3</v>
      </c>
      <c r="D68" s="12" t="s">
        <v>4</v>
      </c>
      <c r="E68" s="12" t="s">
        <v>5</v>
      </c>
      <c r="F68" s="12" t="s">
        <v>6</v>
      </c>
      <c r="G68" s="13" t="s">
        <v>7</v>
      </c>
    </row>
    <row r="69" spans="1:7" ht="30" x14ac:dyDescent="0.25">
      <c r="A69" s="28" t="s">
        <v>174</v>
      </c>
      <c r="B69" s="10" t="s">
        <v>75</v>
      </c>
      <c r="C69" s="10" t="s">
        <v>76</v>
      </c>
      <c r="D69" s="10" t="s">
        <v>13</v>
      </c>
      <c r="E69" s="10">
        <v>40</v>
      </c>
      <c r="F69" s="10">
        <v>24</v>
      </c>
      <c r="G69" s="10">
        <f t="shared" ref="G69:G72" si="5">E69-F69</f>
        <v>16</v>
      </c>
    </row>
    <row r="70" spans="1:7" ht="30" x14ac:dyDescent="0.25">
      <c r="A70" s="26" t="s">
        <v>174</v>
      </c>
      <c r="B70" s="5" t="s">
        <v>77</v>
      </c>
      <c r="C70" s="5" t="s">
        <v>78</v>
      </c>
      <c r="D70" s="5" t="s">
        <v>13</v>
      </c>
      <c r="E70" s="5">
        <v>8</v>
      </c>
      <c r="F70" s="5">
        <v>2</v>
      </c>
      <c r="G70" s="10">
        <f t="shared" si="5"/>
        <v>6</v>
      </c>
    </row>
    <row r="71" spans="1:7" ht="30" x14ac:dyDescent="0.25">
      <c r="A71" s="26" t="s">
        <v>172</v>
      </c>
      <c r="B71" s="5" t="s">
        <v>79</v>
      </c>
      <c r="C71" s="5" t="s">
        <v>80</v>
      </c>
      <c r="D71" s="5" t="s">
        <v>13</v>
      </c>
      <c r="E71" s="5">
        <v>8</v>
      </c>
      <c r="F71" s="5">
        <v>2</v>
      </c>
      <c r="G71" s="10">
        <f t="shared" si="5"/>
        <v>6</v>
      </c>
    </row>
    <row r="72" spans="1:7" ht="30.75" thickBot="1" x14ac:dyDescent="0.3">
      <c r="A72" s="27" t="s">
        <v>29</v>
      </c>
      <c r="B72" s="6" t="s">
        <v>69</v>
      </c>
      <c r="C72" s="6" t="s">
        <v>81</v>
      </c>
      <c r="D72" s="6" t="s">
        <v>71</v>
      </c>
      <c r="E72" s="6">
        <v>25</v>
      </c>
      <c r="F72" s="6">
        <v>15</v>
      </c>
      <c r="G72" s="10">
        <f t="shared" si="5"/>
        <v>10</v>
      </c>
    </row>
    <row r="73" spans="1:7" ht="15.75" thickBot="1" x14ac:dyDescent="0.3">
      <c r="A73" s="30" t="s">
        <v>32</v>
      </c>
      <c r="B73" s="31"/>
      <c r="C73" s="31"/>
      <c r="D73" s="32"/>
      <c r="E73" s="25">
        <f>SUM(E69:E72)</f>
        <v>81</v>
      </c>
      <c r="F73" s="7">
        <f>SUM(F69:F72)</f>
        <v>43</v>
      </c>
      <c r="G73" s="8">
        <f>E73-F73</f>
        <v>38</v>
      </c>
    </row>
    <row r="74" spans="1:7" x14ac:dyDescent="0.25">
      <c r="B74" s="3"/>
    </row>
    <row r="75" spans="1:7" x14ac:dyDescent="0.25">
      <c r="B75" s="4" t="s">
        <v>82</v>
      </c>
    </row>
    <row r="79" spans="1:7" ht="24" x14ac:dyDescent="0.25">
      <c r="B79" s="1" t="s">
        <v>83</v>
      </c>
    </row>
    <row r="81" spans="1:7" x14ac:dyDescent="0.25">
      <c r="B81" s="2" t="s">
        <v>84</v>
      </c>
    </row>
    <row r="82" spans="1:7" ht="15.75" thickBot="1" x14ac:dyDescent="0.3"/>
    <row r="83" spans="1:7" ht="15.75" thickBot="1" x14ac:dyDescent="0.3">
      <c r="A83" s="29" t="s">
        <v>168</v>
      </c>
      <c r="B83" s="12" t="s">
        <v>2</v>
      </c>
      <c r="C83" s="12" t="s">
        <v>3</v>
      </c>
      <c r="D83" s="12" t="s">
        <v>4</v>
      </c>
      <c r="E83" s="12" t="s">
        <v>5</v>
      </c>
      <c r="F83" s="12" t="s">
        <v>6</v>
      </c>
      <c r="G83" s="13" t="s">
        <v>7</v>
      </c>
    </row>
    <row r="84" spans="1:7" ht="30" x14ac:dyDescent="0.25">
      <c r="A84" s="28" t="s">
        <v>169</v>
      </c>
      <c r="B84" s="10" t="s">
        <v>85</v>
      </c>
      <c r="C84" s="10" t="s">
        <v>86</v>
      </c>
      <c r="D84" s="10" t="s">
        <v>13</v>
      </c>
      <c r="E84" s="10">
        <v>15</v>
      </c>
      <c r="F84" s="10">
        <v>8</v>
      </c>
      <c r="G84" s="10">
        <f t="shared" ref="G84:G87" si="6">E84-F84</f>
        <v>7</v>
      </c>
    </row>
    <row r="85" spans="1:7" ht="30" x14ac:dyDescent="0.25">
      <c r="A85" s="26" t="s">
        <v>169</v>
      </c>
      <c r="B85" s="5" t="s">
        <v>87</v>
      </c>
      <c r="C85" s="5" t="s">
        <v>88</v>
      </c>
      <c r="D85" s="5" t="s">
        <v>13</v>
      </c>
      <c r="E85" s="5">
        <v>16</v>
      </c>
      <c r="F85" s="5">
        <v>7</v>
      </c>
      <c r="G85" s="10">
        <f t="shared" si="6"/>
        <v>9</v>
      </c>
    </row>
    <row r="86" spans="1:7" ht="30" x14ac:dyDescent="0.25">
      <c r="A86" s="26" t="s">
        <v>169</v>
      </c>
      <c r="B86" s="5" t="s">
        <v>89</v>
      </c>
      <c r="C86" s="5" t="s">
        <v>90</v>
      </c>
      <c r="D86" s="5" t="s">
        <v>13</v>
      </c>
      <c r="E86" s="5">
        <v>25</v>
      </c>
      <c r="F86" s="5">
        <v>10</v>
      </c>
      <c r="G86" s="10">
        <f t="shared" si="6"/>
        <v>15</v>
      </c>
    </row>
    <row r="87" spans="1:7" ht="30.75" thickBot="1" x14ac:dyDescent="0.3">
      <c r="A87" s="27" t="s">
        <v>172</v>
      </c>
      <c r="B87" s="6" t="s">
        <v>91</v>
      </c>
      <c r="C87" s="6" t="s">
        <v>92</v>
      </c>
      <c r="D87" s="6" t="s">
        <v>13</v>
      </c>
      <c r="E87" s="6">
        <v>15</v>
      </c>
      <c r="F87" s="6">
        <v>4</v>
      </c>
      <c r="G87" s="10">
        <f t="shared" si="6"/>
        <v>11</v>
      </c>
    </row>
    <row r="88" spans="1:7" ht="15.75" thickBot="1" x14ac:dyDescent="0.3">
      <c r="A88" s="30" t="s">
        <v>32</v>
      </c>
      <c r="B88" s="31"/>
      <c r="C88" s="31"/>
      <c r="D88" s="32"/>
      <c r="E88" s="25">
        <f>SUM(E84:E87)</f>
        <v>71</v>
      </c>
      <c r="F88" s="7">
        <f>SUM(F84:F87)</f>
        <v>29</v>
      </c>
      <c r="G88" s="8">
        <f>E88-F88</f>
        <v>42</v>
      </c>
    </row>
    <row r="89" spans="1:7" x14ac:dyDescent="0.25">
      <c r="B89" s="3"/>
    </row>
    <row r="90" spans="1:7" x14ac:dyDescent="0.25">
      <c r="B90" s="4" t="s">
        <v>93</v>
      </c>
    </row>
    <row r="94" spans="1:7" ht="24" x14ac:dyDescent="0.25">
      <c r="B94" s="1" t="s">
        <v>94</v>
      </c>
    </row>
    <row r="96" spans="1:7" x14ac:dyDescent="0.25">
      <c r="B96" s="2" t="s">
        <v>95</v>
      </c>
    </row>
    <row r="97" spans="1:7" ht="15.75" thickBot="1" x14ac:dyDescent="0.3"/>
    <row r="98" spans="1:7" ht="15.75" thickBot="1" x14ac:dyDescent="0.3">
      <c r="A98" s="29" t="s">
        <v>168</v>
      </c>
      <c r="B98" s="12" t="s">
        <v>2</v>
      </c>
      <c r="C98" s="12" t="s">
        <v>3</v>
      </c>
      <c r="D98" s="12" t="s">
        <v>4</v>
      </c>
      <c r="E98" s="12" t="s">
        <v>5</v>
      </c>
      <c r="F98" s="12" t="s">
        <v>6</v>
      </c>
      <c r="G98" s="13" t="s">
        <v>7</v>
      </c>
    </row>
    <row r="99" spans="1:7" ht="30" x14ac:dyDescent="0.25">
      <c r="A99" s="28" t="s">
        <v>174</v>
      </c>
      <c r="B99" s="10" t="s">
        <v>96</v>
      </c>
      <c r="C99" s="10" t="s">
        <v>97</v>
      </c>
      <c r="D99" s="10" t="s">
        <v>13</v>
      </c>
      <c r="E99" s="10">
        <v>20</v>
      </c>
      <c r="F99" s="10">
        <v>9</v>
      </c>
      <c r="G99" s="10">
        <f t="shared" ref="G99:G102" si="7">E99-F99</f>
        <v>11</v>
      </c>
    </row>
    <row r="100" spans="1:7" ht="60" x14ac:dyDescent="0.25">
      <c r="A100" s="26" t="s">
        <v>173</v>
      </c>
      <c r="B100" s="5" t="s">
        <v>98</v>
      </c>
      <c r="C100" s="5" t="s">
        <v>99</v>
      </c>
      <c r="D100" s="5" t="s">
        <v>100</v>
      </c>
      <c r="E100" s="5">
        <v>32</v>
      </c>
      <c r="F100" s="5">
        <v>16</v>
      </c>
      <c r="G100" s="10">
        <f t="shared" si="7"/>
        <v>16</v>
      </c>
    </row>
    <row r="101" spans="1:7" ht="45" x14ac:dyDescent="0.25">
      <c r="A101" s="26" t="s">
        <v>26</v>
      </c>
      <c r="B101" s="5" t="s">
        <v>67</v>
      </c>
      <c r="C101" s="5" t="s">
        <v>101</v>
      </c>
      <c r="D101" s="5" t="s">
        <v>28</v>
      </c>
      <c r="E101" s="5">
        <v>8</v>
      </c>
      <c r="F101" s="5">
        <v>6</v>
      </c>
      <c r="G101" s="10">
        <f t="shared" si="7"/>
        <v>2</v>
      </c>
    </row>
    <row r="102" spans="1:7" ht="30.75" thickBot="1" x14ac:dyDescent="0.3">
      <c r="A102" s="27" t="s">
        <v>29</v>
      </c>
      <c r="B102" s="6" t="s">
        <v>69</v>
      </c>
      <c r="C102" s="6" t="s">
        <v>102</v>
      </c>
      <c r="D102" s="6" t="s">
        <v>71</v>
      </c>
      <c r="E102" s="6">
        <v>15</v>
      </c>
      <c r="F102" s="6">
        <v>4</v>
      </c>
      <c r="G102" s="10">
        <f t="shared" si="7"/>
        <v>11</v>
      </c>
    </row>
    <row r="103" spans="1:7" ht="15.75" thickBot="1" x14ac:dyDescent="0.3">
      <c r="A103" s="22" t="s">
        <v>32</v>
      </c>
      <c r="B103" s="23"/>
      <c r="C103" s="23"/>
      <c r="D103" s="33"/>
      <c r="E103" s="25">
        <f>SUM(E99:E102)</f>
        <v>75</v>
      </c>
      <c r="F103" s="7">
        <f>SUM(F99:F102)</f>
        <v>35</v>
      </c>
      <c r="G103" s="8">
        <f>E103-F103</f>
        <v>40</v>
      </c>
    </row>
    <row r="106" spans="1:7" ht="24" x14ac:dyDescent="0.25">
      <c r="B106" s="1" t="s">
        <v>103</v>
      </c>
    </row>
    <row r="108" spans="1:7" x14ac:dyDescent="0.25">
      <c r="B108" s="2" t="s">
        <v>104</v>
      </c>
    </row>
    <row r="109" spans="1:7" ht="15.75" thickBot="1" x14ac:dyDescent="0.3"/>
    <row r="110" spans="1:7" ht="15.75" thickBot="1" x14ac:dyDescent="0.3">
      <c r="B110" s="11" t="s">
        <v>105</v>
      </c>
      <c r="C110" s="12" t="s">
        <v>106</v>
      </c>
      <c r="D110" s="12" t="s">
        <v>5</v>
      </c>
      <c r="E110" s="12" t="s">
        <v>6</v>
      </c>
      <c r="F110" s="13" t="s">
        <v>7</v>
      </c>
    </row>
    <row r="111" spans="1:7" ht="45" x14ac:dyDescent="0.25">
      <c r="B111" s="10" t="s">
        <v>107</v>
      </c>
      <c r="C111" s="10" t="s">
        <v>108</v>
      </c>
      <c r="D111" s="10">
        <v>20</v>
      </c>
      <c r="E111" s="10">
        <v>12</v>
      </c>
      <c r="F111" s="10">
        <f t="shared" ref="F111:F114" si="8">D111-E111</f>
        <v>8</v>
      </c>
    </row>
    <row r="112" spans="1:7" ht="60" x14ac:dyDescent="0.25">
      <c r="B112" s="5" t="s">
        <v>109</v>
      </c>
      <c r="C112" s="5" t="s">
        <v>110</v>
      </c>
      <c r="D112" s="5">
        <v>15</v>
      </c>
      <c r="E112" s="5">
        <v>10</v>
      </c>
      <c r="F112" s="10">
        <f t="shared" si="8"/>
        <v>5</v>
      </c>
    </row>
    <row r="113" spans="1:7" ht="30" x14ac:dyDescent="0.25">
      <c r="B113" s="5" t="s">
        <v>111</v>
      </c>
      <c r="C113" s="5" t="s">
        <v>112</v>
      </c>
      <c r="D113" s="5">
        <v>5</v>
      </c>
      <c r="E113" s="5">
        <v>4</v>
      </c>
      <c r="F113" s="10">
        <f t="shared" si="8"/>
        <v>1</v>
      </c>
    </row>
    <row r="114" spans="1:7" ht="60.75" thickBot="1" x14ac:dyDescent="0.3">
      <c r="B114" s="6" t="s">
        <v>113</v>
      </c>
      <c r="C114" s="6" t="s">
        <v>114</v>
      </c>
      <c r="D114" s="6">
        <v>10</v>
      </c>
      <c r="E114" s="6">
        <v>10</v>
      </c>
      <c r="F114" s="10">
        <f t="shared" si="8"/>
        <v>0</v>
      </c>
    </row>
    <row r="115" spans="1:7" ht="15.75" thickBot="1" x14ac:dyDescent="0.3">
      <c r="B115" s="22" t="s">
        <v>32</v>
      </c>
      <c r="C115" s="24"/>
      <c r="D115" s="7">
        <f>SUM(D111:D114)</f>
        <v>50</v>
      </c>
      <c r="E115" s="7">
        <f>SUM(E111:E114)</f>
        <v>36</v>
      </c>
      <c r="F115" s="8">
        <f>D115-E115</f>
        <v>14</v>
      </c>
    </row>
    <row r="116" spans="1:7" x14ac:dyDescent="0.25">
      <c r="B116" s="3"/>
    </row>
    <row r="117" spans="1:7" x14ac:dyDescent="0.25">
      <c r="B117" s="4" t="s">
        <v>115</v>
      </c>
    </row>
    <row r="121" spans="1:7" ht="24" x14ac:dyDescent="0.25">
      <c r="B121" s="1" t="s">
        <v>116</v>
      </c>
    </row>
    <row r="123" spans="1:7" x14ac:dyDescent="0.25">
      <c r="B123" s="2" t="s">
        <v>117</v>
      </c>
    </row>
    <row r="124" spans="1:7" ht="15.75" thickBot="1" x14ac:dyDescent="0.3"/>
    <row r="125" spans="1:7" ht="15.75" thickBot="1" x14ac:dyDescent="0.3">
      <c r="A125" s="29" t="s">
        <v>168</v>
      </c>
      <c r="B125" s="12" t="s">
        <v>2</v>
      </c>
      <c r="C125" s="12" t="s">
        <v>3</v>
      </c>
      <c r="D125" s="12" t="s">
        <v>4</v>
      </c>
      <c r="E125" s="12" t="s">
        <v>5</v>
      </c>
      <c r="F125" s="12" t="s">
        <v>6</v>
      </c>
      <c r="G125" s="13" t="s">
        <v>7</v>
      </c>
    </row>
    <row r="126" spans="1:7" ht="30" x14ac:dyDescent="0.25">
      <c r="A126" s="28" t="s">
        <v>174</v>
      </c>
      <c r="B126" s="10" t="s">
        <v>118</v>
      </c>
      <c r="C126" s="10" t="s">
        <v>119</v>
      </c>
      <c r="D126" s="10" t="s">
        <v>13</v>
      </c>
      <c r="E126" s="10">
        <v>20</v>
      </c>
      <c r="F126" s="10">
        <v>14</v>
      </c>
      <c r="G126" s="10">
        <f t="shared" ref="G126:G128" si="9">E126-F126</f>
        <v>6</v>
      </c>
    </row>
    <row r="127" spans="1:7" ht="30" x14ac:dyDescent="0.25">
      <c r="A127" s="26" t="s">
        <v>174</v>
      </c>
      <c r="B127" s="5" t="s">
        <v>120</v>
      </c>
      <c r="C127" s="5" t="s">
        <v>121</v>
      </c>
      <c r="D127" s="5" t="s">
        <v>13</v>
      </c>
      <c r="E127" s="5">
        <v>15</v>
      </c>
      <c r="F127" s="5">
        <v>8</v>
      </c>
      <c r="G127" s="10">
        <f t="shared" si="9"/>
        <v>7</v>
      </c>
    </row>
    <row r="128" spans="1:7" ht="30" x14ac:dyDescent="0.25">
      <c r="A128" s="26" t="s">
        <v>169</v>
      </c>
      <c r="B128" s="5" t="s">
        <v>122</v>
      </c>
      <c r="C128" s="5" t="s">
        <v>123</v>
      </c>
      <c r="D128" s="5" t="s">
        <v>13</v>
      </c>
      <c r="E128" s="5">
        <v>10</v>
      </c>
      <c r="F128" s="5">
        <v>5</v>
      </c>
      <c r="G128" s="10">
        <f t="shared" si="9"/>
        <v>5</v>
      </c>
    </row>
    <row r="129" spans="1:7" ht="30" x14ac:dyDescent="0.25">
      <c r="A129" s="26" t="s">
        <v>174</v>
      </c>
      <c r="B129" s="5" t="s">
        <v>124</v>
      </c>
      <c r="C129" s="5" t="s">
        <v>125</v>
      </c>
      <c r="D129" s="5" t="s">
        <v>13</v>
      </c>
      <c r="E129" s="5" t="s">
        <v>126</v>
      </c>
      <c r="F129" s="5" t="s">
        <v>126</v>
      </c>
      <c r="G129" s="15" t="s">
        <v>159</v>
      </c>
    </row>
    <row r="130" spans="1:7" ht="30.75" thickBot="1" x14ac:dyDescent="0.3">
      <c r="A130" s="27" t="s">
        <v>29</v>
      </c>
      <c r="B130" s="6" t="s">
        <v>69</v>
      </c>
      <c r="C130" s="6" t="s">
        <v>127</v>
      </c>
      <c r="D130" s="6" t="s">
        <v>71</v>
      </c>
      <c r="E130" s="6" t="s">
        <v>126</v>
      </c>
      <c r="F130" s="6" t="s">
        <v>126</v>
      </c>
      <c r="G130" s="15" t="s">
        <v>159</v>
      </c>
    </row>
    <row r="131" spans="1:7" ht="21.75" customHeight="1" thickBot="1" x14ac:dyDescent="0.3">
      <c r="A131" s="30" t="s">
        <v>128</v>
      </c>
      <c r="B131" s="31"/>
      <c r="C131" s="31"/>
      <c r="D131" s="32"/>
      <c r="E131" s="25">
        <f>SUM(E126:E130)</f>
        <v>45</v>
      </c>
      <c r="F131" s="7">
        <f>SUM(F126:F130)</f>
        <v>27</v>
      </c>
      <c r="G131" s="8">
        <f>E131-F131</f>
        <v>18</v>
      </c>
    </row>
    <row r="134" spans="1:7" ht="24" x14ac:dyDescent="0.25">
      <c r="A134" s="1" t="s">
        <v>129</v>
      </c>
    </row>
    <row r="135" spans="1:7" ht="15.75" thickBot="1" x14ac:dyDescent="0.3"/>
    <row r="136" spans="1:7" ht="30.75" thickBot="1" x14ac:dyDescent="0.3">
      <c r="A136" s="11" t="s">
        <v>163</v>
      </c>
      <c r="B136" s="12" t="s">
        <v>164</v>
      </c>
      <c r="C136" s="12" t="s">
        <v>5</v>
      </c>
      <c r="D136" s="12" t="s">
        <v>6</v>
      </c>
      <c r="E136" s="12" t="s">
        <v>165</v>
      </c>
      <c r="F136" s="12" t="s">
        <v>166</v>
      </c>
      <c r="G136" s="13" t="s">
        <v>167</v>
      </c>
    </row>
    <row r="137" spans="1:7" ht="60" x14ac:dyDescent="0.25">
      <c r="A137" s="10" t="s">
        <v>130</v>
      </c>
      <c r="B137" s="10" t="s">
        <v>131</v>
      </c>
      <c r="C137" s="10">
        <f>E15</f>
        <v>183</v>
      </c>
      <c r="D137" s="10">
        <f>F15</f>
        <v>75</v>
      </c>
      <c r="E137" s="10">
        <f>C137-D137</f>
        <v>108</v>
      </c>
      <c r="F137" s="14">
        <f>E137/C137</f>
        <v>0.5901639344262295</v>
      </c>
      <c r="G137" s="10" t="s">
        <v>132</v>
      </c>
    </row>
    <row r="138" spans="1:7" ht="75" x14ac:dyDescent="0.25">
      <c r="A138" s="5" t="s">
        <v>133</v>
      </c>
      <c r="B138" s="5" t="s">
        <v>134</v>
      </c>
      <c r="C138" s="5">
        <f>E29</f>
        <v>86</v>
      </c>
      <c r="D138" s="5">
        <f>F29</f>
        <v>43</v>
      </c>
      <c r="E138" s="10">
        <f t="shared" ref="E138:E145" si="10">C138-D138</f>
        <v>43</v>
      </c>
      <c r="F138" s="14">
        <f t="shared" ref="F138:F146" si="11">E138/C138</f>
        <v>0.5</v>
      </c>
      <c r="G138" s="5" t="s">
        <v>135</v>
      </c>
    </row>
    <row r="139" spans="1:7" ht="120" x14ac:dyDescent="0.25">
      <c r="A139" s="5" t="s">
        <v>136</v>
      </c>
      <c r="B139" s="5" t="s">
        <v>137</v>
      </c>
      <c r="C139" s="5">
        <f>E43</f>
        <v>90</v>
      </c>
      <c r="D139" s="5">
        <f>F43</f>
        <v>55</v>
      </c>
      <c r="E139" s="10">
        <f t="shared" si="10"/>
        <v>35</v>
      </c>
      <c r="F139" s="14">
        <f t="shared" si="11"/>
        <v>0.3888888888888889</v>
      </c>
      <c r="G139" s="5" t="s">
        <v>138</v>
      </c>
    </row>
    <row r="140" spans="1:7" ht="60" x14ac:dyDescent="0.25">
      <c r="A140" s="5" t="s">
        <v>139</v>
      </c>
      <c r="B140" s="5" t="s">
        <v>140</v>
      </c>
      <c r="C140" s="5">
        <f>E58</f>
        <v>75</v>
      </c>
      <c r="D140" s="5">
        <f>F58</f>
        <v>40</v>
      </c>
      <c r="E140" s="10">
        <f t="shared" si="10"/>
        <v>35</v>
      </c>
      <c r="F140" s="14">
        <f t="shared" si="11"/>
        <v>0.46666666666666667</v>
      </c>
      <c r="G140" s="5" t="s">
        <v>141</v>
      </c>
    </row>
    <row r="141" spans="1:7" ht="75" x14ac:dyDescent="0.25">
      <c r="A141" s="5" t="s">
        <v>142</v>
      </c>
      <c r="B141" s="5" t="s">
        <v>143</v>
      </c>
      <c r="C141" s="5">
        <f>E73</f>
        <v>81</v>
      </c>
      <c r="D141" s="5">
        <f>F73</f>
        <v>43</v>
      </c>
      <c r="E141" s="10">
        <f t="shared" si="10"/>
        <v>38</v>
      </c>
      <c r="F141" s="14">
        <f t="shared" si="11"/>
        <v>0.46913580246913578</v>
      </c>
      <c r="G141" s="5" t="s">
        <v>144</v>
      </c>
    </row>
    <row r="142" spans="1:7" ht="75" x14ac:dyDescent="0.25">
      <c r="A142" s="5" t="s">
        <v>145</v>
      </c>
      <c r="B142" s="5" t="s">
        <v>146</v>
      </c>
      <c r="C142" s="5">
        <f>E88</f>
        <v>71</v>
      </c>
      <c r="D142" s="5">
        <f>F88</f>
        <v>29</v>
      </c>
      <c r="E142" s="10">
        <f t="shared" si="10"/>
        <v>42</v>
      </c>
      <c r="F142" s="14">
        <f t="shared" si="11"/>
        <v>0.59154929577464788</v>
      </c>
      <c r="G142" s="5" t="s">
        <v>147</v>
      </c>
    </row>
    <row r="143" spans="1:7" ht="75" x14ac:dyDescent="0.25">
      <c r="A143" s="5" t="s">
        <v>148</v>
      </c>
      <c r="B143" s="5" t="s">
        <v>149</v>
      </c>
      <c r="C143" s="5">
        <f>E103</f>
        <v>75</v>
      </c>
      <c r="D143" s="5">
        <f>F103</f>
        <v>35</v>
      </c>
      <c r="E143" s="10">
        <f t="shared" si="10"/>
        <v>40</v>
      </c>
      <c r="F143" s="14">
        <f t="shared" si="11"/>
        <v>0.53333333333333333</v>
      </c>
      <c r="G143" s="5" t="s">
        <v>150</v>
      </c>
    </row>
    <row r="144" spans="1:7" ht="90" x14ac:dyDescent="0.25">
      <c r="A144" s="5" t="s">
        <v>151</v>
      </c>
      <c r="B144" s="5" t="s">
        <v>152</v>
      </c>
      <c r="C144" s="5">
        <f>D115</f>
        <v>50</v>
      </c>
      <c r="D144" s="5">
        <f>E115</f>
        <v>36</v>
      </c>
      <c r="E144" s="10">
        <f t="shared" si="10"/>
        <v>14</v>
      </c>
      <c r="F144" s="14">
        <f t="shared" si="11"/>
        <v>0.28000000000000003</v>
      </c>
      <c r="G144" s="5" t="s">
        <v>153</v>
      </c>
    </row>
    <row r="145" spans="1:7" ht="90.75" thickBot="1" x14ac:dyDescent="0.3">
      <c r="A145" s="6" t="s">
        <v>154</v>
      </c>
      <c r="B145" s="6" t="s">
        <v>155</v>
      </c>
      <c r="C145" s="6">
        <f>E131</f>
        <v>45</v>
      </c>
      <c r="D145" s="6">
        <f>F131</f>
        <v>27</v>
      </c>
      <c r="E145" s="18">
        <f t="shared" si="10"/>
        <v>18</v>
      </c>
      <c r="F145" s="19">
        <f t="shared" si="11"/>
        <v>0.4</v>
      </c>
      <c r="G145" s="6" t="s">
        <v>156</v>
      </c>
    </row>
    <row r="146" spans="1:7" ht="15.75" thickBot="1" x14ac:dyDescent="0.3">
      <c r="A146" s="16" t="s">
        <v>157</v>
      </c>
      <c r="B146" s="17"/>
      <c r="C146" s="20">
        <f>SUM(C137:C145)</f>
        <v>756</v>
      </c>
      <c r="D146" s="7">
        <f>SUM(D137:D145)</f>
        <v>383</v>
      </c>
      <c r="E146" s="7">
        <f>SUM(E137:E145)</f>
        <v>373</v>
      </c>
      <c r="F146" s="21">
        <f t="shared" si="11"/>
        <v>0.49338624338624337</v>
      </c>
      <c r="G146" s="9"/>
    </row>
  </sheetData>
  <mergeCells count="9">
    <mergeCell ref="A29:D29"/>
    <mergeCell ref="A15:D15"/>
    <mergeCell ref="B115:C115"/>
    <mergeCell ref="A131:D131"/>
    <mergeCell ref="A103:D103"/>
    <mergeCell ref="A88:D88"/>
    <mergeCell ref="A73:D73"/>
    <mergeCell ref="A58:D58"/>
    <mergeCell ref="A43:D4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Bartyzal</dc:creator>
  <cp:lastModifiedBy>Jan Bartyzal</cp:lastModifiedBy>
  <dcterms:created xsi:type="dcterms:W3CDTF">2026-02-23T11:14:27Z</dcterms:created>
  <dcterms:modified xsi:type="dcterms:W3CDTF">2026-03-02T09:31:59Z</dcterms:modified>
</cp:coreProperties>
</file>